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Query Tracker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4E78"/>
    </font>
    <font>
      <b val="1"/>
      <color rgb="00FFFFFF"/>
    </font>
    <font>
      <b val="1"/>
      <color rgb="00FFFFFF"/>
      <sz val="17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by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etailRecords" displayName="DetailRecords" ref="A1:M16" headerRowCount="1">
  <autoFilter ref="A1:M16"/>
  <tableColumns count="13">
    <tableColumn id="1" name="Ticket ID"/>
    <tableColumn id="2" name="Created Date"/>
    <tableColumn id="3" name="Customer Type"/>
    <tableColumn id="4" name="Category"/>
    <tableColumn id="5" name="Subject"/>
    <tableColumn id="6" name="Priority"/>
    <tableColumn id="7" name="Assigned To"/>
    <tableColumn id="8" name="Status"/>
    <tableColumn id="9" name="First Response (hrs)"/>
    <tableColumn id="10" name="Resolution (hrs)"/>
    <tableColumn id="11" name="Due Date"/>
    <tableColumn id="12" name="CSAT (1-5)"/>
    <tableColumn id="13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Customer Support &amp; Query Resolution System</t>
        </is>
      </c>
    </row>
    <row r="3">
      <c r="A3" s="2" t="inlineStr">
        <is>
          <t>Purpose</t>
        </is>
      </c>
      <c r="B3" s="3" t="inlineStr">
        <is>
          <t>Portfolio demonstration workbook with fictional sample records.</t>
        </is>
      </c>
    </row>
    <row r="4">
      <c r="A4" s="2" t="inlineStr">
        <is>
          <t>How to use</t>
        </is>
      </c>
      <c r="B4" s="3" t="inlineStr">
        <is>
          <t>Review Dashboard, then the detailed register/tracker and summary sheets. Formulas recalculate in Excel.</t>
        </is>
      </c>
    </row>
    <row r="5">
      <c r="A5" s="2" t="inlineStr">
        <is>
          <t>Data note</t>
        </is>
      </c>
      <c r="B5" s="3" t="inlineStr">
        <is>
          <t>All names, ticket/item records, values, and dates are synthetic examples, not real business results.</t>
        </is>
      </c>
    </row>
    <row r="6">
      <c r="A6" s="2" t="inlineStr">
        <is>
          <t>Integration note</t>
        </is>
      </c>
      <c r="B6" s="3" t="inlineStr">
        <is>
          <t>No live CRM, helpdesk, form, purchasing, or inventory integration is implemented.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65" customWidth="1" min="3" max="3"/>
  </cols>
  <sheetData>
    <row r="1">
      <c r="A1" s="4" t="inlineStr">
        <is>
          <t>CUSTOMER SUPPORT &amp; QUERY RESOLUTION SYSTEM DASHBOARD</t>
        </is>
      </c>
    </row>
    <row r="2">
      <c r="A2" s="5" t="inlineStr">
        <is>
          <t>Metric</t>
        </is>
      </c>
      <c r="B2" s="5" t="inlineStr">
        <is>
          <t>Value</t>
        </is>
      </c>
      <c r="C2" s="5" t="inlineStr">
        <is>
          <t>What it tells you</t>
        </is>
      </c>
    </row>
    <row r="3">
      <c r="A3" t="inlineStr">
        <is>
          <t>Total tickets</t>
        </is>
      </c>
      <c r="B3" s="6">
        <f>COUNTA('Query Tracker'!A2:A1000)</f>
        <v/>
      </c>
      <c r="C3" s="7" t="inlineStr">
        <is>
          <t>Total fictional queries logged</t>
        </is>
      </c>
    </row>
    <row r="4">
      <c r="A4" t="inlineStr">
        <is>
          <t>Open / in progress</t>
        </is>
      </c>
      <c r="B4" s="6">
        <f>COUNTIF('Query Tracker'!H2:H1000,"Open")+COUNTIF('Query Tracker'!H2:H1000,"In Progress")</f>
        <v/>
      </c>
      <c r="C4" s="7" t="inlineStr">
        <is>
          <t>Items requiring follow-up</t>
        </is>
      </c>
    </row>
    <row r="5">
      <c r="A5" t="inlineStr">
        <is>
          <t>Urgent tickets</t>
        </is>
      </c>
      <c r="B5" s="6">
        <f>COUNTIF('Query Tracker'!F2:F1000,"Urgent")</f>
        <v/>
      </c>
      <c r="C5" s="7" t="inlineStr">
        <is>
          <t>Highest-priority issues</t>
        </is>
      </c>
    </row>
    <row r="6">
      <c r="A6" t="inlineStr">
        <is>
          <t>Resolved / closed</t>
        </is>
      </c>
      <c r="B6" s="6">
        <f>COUNTIF('Query Tracker'!H2:H1000,"Resolved")+COUNTIF('Query Tracker'!H2:H1000,"Closed")</f>
        <v/>
      </c>
      <c r="C6" s="7" t="inlineStr">
        <is>
          <t>Completed records</t>
        </is>
      </c>
    </row>
    <row r="7">
      <c r="A7" t="inlineStr">
        <is>
          <t>Resolution rate</t>
        </is>
      </c>
      <c r="B7" s="6">
        <f>IF(B3=0,0,B6/B3)</f>
        <v/>
      </c>
      <c r="C7" s="7" t="inlineStr">
        <is>
          <t>Completed / total</t>
        </is>
      </c>
    </row>
    <row r="8">
      <c r="A8" t="inlineStr">
        <is>
          <t>Average resolution time (hrs)</t>
        </is>
      </c>
      <c r="B8" s="6">
        <f>IFERROR(AVERAGE('Query Tracker'!J2:J1000),0)</f>
        <v/>
      </c>
      <c r="C8" s="7" t="inlineStr">
        <is>
          <t>Average where a time is recorded</t>
        </is>
      </c>
    </row>
    <row r="9">
      <c r="A9" t="inlineStr">
        <is>
          <t>Average CSAT</t>
        </is>
      </c>
      <c r="B9" s="6">
        <f>IFERROR(AVERAGE('Query Tracker'!L2:L1000),0)</f>
        <v/>
      </c>
      <c r="C9" s="7" t="inlineStr">
        <is>
          <t>Average recorded rating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9" customWidth="1" min="4" max="4"/>
    <col width="30" customWidth="1" min="5" max="5"/>
    <col width="12" customWidth="1" min="6" max="6"/>
    <col width="14" customWidth="1" min="7" max="7"/>
    <col width="15" customWidth="1" min="8" max="8"/>
    <col width="20" customWidth="1" min="9" max="9"/>
    <col width="18" customWidth="1" min="10" max="10"/>
    <col width="14" customWidth="1" min="11" max="11"/>
    <col width="12" customWidth="1" min="12" max="12"/>
    <col width="30" customWidth="1" min="13" max="13"/>
  </cols>
  <sheetData>
    <row r="1" ht="30" customHeight="1">
      <c r="A1" s="8" t="inlineStr">
        <is>
          <t>Ticket ID</t>
        </is>
      </c>
      <c r="B1" s="8" t="inlineStr">
        <is>
          <t>Created Date</t>
        </is>
      </c>
      <c r="C1" s="8" t="inlineStr">
        <is>
          <t>Customer Type</t>
        </is>
      </c>
      <c r="D1" s="8" t="inlineStr">
        <is>
          <t>Category</t>
        </is>
      </c>
      <c r="E1" s="8" t="inlineStr">
        <is>
          <t>Subject</t>
        </is>
      </c>
      <c r="F1" s="8" t="inlineStr">
        <is>
          <t>Priority</t>
        </is>
      </c>
      <c r="G1" s="8" t="inlineStr">
        <is>
          <t>Assigned To</t>
        </is>
      </c>
      <c r="H1" s="8" t="inlineStr">
        <is>
          <t>Status</t>
        </is>
      </c>
      <c r="I1" s="8" t="inlineStr">
        <is>
          <t>First Response (hrs)</t>
        </is>
      </c>
      <c r="J1" s="8" t="inlineStr">
        <is>
          <t>Resolution (hrs)</t>
        </is>
      </c>
      <c r="K1" s="8" t="inlineStr">
        <is>
          <t>Due Date</t>
        </is>
      </c>
      <c r="L1" s="8" t="inlineStr">
        <is>
          <t>CSAT (1-5)</t>
        </is>
      </c>
      <c r="M1" s="8" t="inlineStr">
        <is>
          <t>Notes</t>
        </is>
      </c>
    </row>
    <row r="2">
      <c r="A2" s="3" t="inlineStr">
        <is>
          <t>Q-1001</t>
        </is>
      </c>
      <c r="B2" s="9" t="n">
        <v>46266</v>
      </c>
      <c r="C2" s="3" t="inlineStr">
        <is>
          <t>Retail</t>
        </is>
      </c>
      <c r="D2" s="3" t="inlineStr">
        <is>
          <t>Order Status</t>
        </is>
      </c>
      <c r="E2" s="3" t="inlineStr">
        <is>
          <t>Delivery update</t>
        </is>
      </c>
      <c r="F2" s="3" t="inlineStr">
        <is>
          <t>High</t>
        </is>
      </c>
      <c r="G2" s="3" t="inlineStr">
        <is>
          <t>Agent A</t>
        </is>
      </c>
      <c r="H2" s="3" t="inlineStr">
        <is>
          <t>Resolved</t>
        </is>
      </c>
      <c r="I2" s="3" t="n">
        <v>1</v>
      </c>
      <c r="J2" s="3" t="n">
        <v>8</v>
      </c>
      <c r="K2" s="9" t="n">
        <v>46267</v>
      </c>
      <c r="L2" s="3" t="n">
        <v>5</v>
      </c>
      <c r="M2" s="3" t="inlineStr">
        <is>
          <t>Customer updated</t>
        </is>
      </c>
    </row>
    <row r="3">
      <c r="A3" s="3" t="inlineStr">
        <is>
          <t>Q-1002</t>
        </is>
      </c>
      <c r="B3" s="9" t="n">
        <v>46267</v>
      </c>
      <c r="C3" s="3" t="inlineStr">
        <is>
          <t>Education</t>
        </is>
      </c>
      <c r="D3" s="3" t="inlineStr">
        <is>
          <t>Billing</t>
        </is>
      </c>
      <c r="E3" s="3" t="inlineStr">
        <is>
          <t>Invoice clarification</t>
        </is>
      </c>
      <c r="F3" s="3" t="inlineStr">
        <is>
          <t>Medium</t>
        </is>
      </c>
      <c r="G3" s="3" t="inlineStr">
        <is>
          <t>Agent B</t>
        </is>
      </c>
      <c r="H3" s="3" t="inlineStr">
        <is>
          <t>Resolved</t>
        </is>
      </c>
      <c r="I3" s="3" t="n">
        <v>3</v>
      </c>
      <c r="J3" s="3" t="n">
        <v>16</v>
      </c>
      <c r="K3" s="9" t="n">
        <v>46269</v>
      </c>
      <c r="L3" s="3" t="n">
        <v>4</v>
      </c>
      <c r="M3" s="3" t="inlineStr">
        <is>
          <t>Line items explained</t>
        </is>
      </c>
    </row>
    <row r="4">
      <c r="A4" s="3" t="inlineStr">
        <is>
          <t>Q-1003</t>
        </is>
      </c>
      <c r="B4" s="9" t="n">
        <v>46268</v>
      </c>
      <c r="C4" s="3" t="inlineStr">
        <is>
          <t>Retail</t>
        </is>
      </c>
      <c r="D4" s="3" t="inlineStr">
        <is>
          <t>Return/Refund</t>
        </is>
      </c>
      <c r="E4" s="3" t="inlineStr">
        <is>
          <t>Refund status</t>
        </is>
      </c>
      <c r="F4" s="3" t="inlineStr">
        <is>
          <t>High</t>
        </is>
      </c>
      <c r="G4" s="3" t="inlineStr">
        <is>
          <t>Agent A</t>
        </is>
      </c>
      <c r="H4" s="3" t="inlineStr">
        <is>
          <t>In Progress</t>
        </is>
      </c>
      <c r="I4" s="3" t="n">
        <v>2</v>
      </c>
      <c r="J4" s="3" t="n"/>
      <c r="K4" s="9" t="n">
        <v>46269</v>
      </c>
      <c r="L4" s="3" t="n"/>
      <c r="M4" s="3" t="inlineStr">
        <is>
          <t>Awaiting payment confirmation</t>
        </is>
      </c>
    </row>
    <row r="5">
      <c r="A5" s="3" t="inlineStr">
        <is>
          <t>Q-1004</t>
        </is>
      </c>
      <c r="B5" s="9" t="n">
        <v>46269</v>
      </c>
      <c r="C5" s="3" t="inlineStr">
        <is>
          <t>Services</t>
        </is>
      </c>
      <c r="D5" s="3" t="inlineStr">
        <is>
          <t>Technical</t>
        </is>
      </c>
      <c r="E5" s="3" t="inlineStr">
        <is>
          <t>Login issue</t>
        </is>
      </c>
      <c r="F5" s="3" t="inlineStr">
        <is>
          <t>Urgent</t>
        </is>
      </c>
      <c r="G5" s="3" t="inlineStr">
        <is>
          <t>Agent C</t>
        </is>
      </c>
      <c r="H5" s="3" t="inlineStr">
        <is>
          <t>Open</t>
        </is>
      </c>
      <c r="I5" s="3" t="n"/>
      <c r="J5" s="3" t="n"/>
      <c r="K5" s="9" t="n">
        <v>46269</v>
      </c>
      <c r="L5" s="3" t="n"/>
      <c r="M5" s="3" t="inlineStr">
        <is>
          <t>Needs troubleshooting</t>
        </is>
      </c>
    </row>
    <row r="6">
      <c r="A6" s="3" t="inlineStr">
        <is>
          <t>Q-1005</t>
        </is>
      </c>
      <c r="B6" s="9" t="n">
        <v>46270</v>
      </c>
      <c r="C6" s="3" t="inlineStr">
        <is>
          <t>Retail</t>
        </is>
      </c>
      <c r="D6" s="3" t="inlineStr">
        <is>
          <t>Product Info</t>
        </is>
      </c>
      <c r="E6" s="3" t="inlineStr">
        <is>
          <t>Compatibility question</t>
        </is>
      </c>
      <c r="F6" s="3" t="inlineStr">
        <is>
          <t>Low</t>
        </is>
      </c>
      <c r="G6" s="3" t="inlineStr">
        <is>
          <t>Agent B</t>
        </is>
      </c>
      <c r="H6" s="3" t="inlineStr">
        <is>
          <t>Closed</t>
        </is>
      </c>
      <c r="I6" s="3" t="n">
        <v>4</v>
      </c>
      <c r="J6" s="3" t="n">
        <v>12</v>
      </c>
      <c r="K6" s="9" t="n">
        <v>46273</v>
      </c>
      <c r="L6" s="3" t="n">
        <v>5</v>
      </c>
      <c r="M6" s="3" t="inlineStr">
        <is>
          <t>Information shared</t>
        </is>
      </c>
    </row>
    <row r="7">
      <c r="A7" s="3" t="inlineStr">
        <is>
          <t>Q-1006</t>
        </is>
      </c>
      <c r="B7" s="9" t="n">
        <v>46271</v>
      </c>
      <c r="C7" s="3" t="inlineStr">
        <is>
          <t>Education</t>
        </is>
      </c>
      <c r="D7" s="3" t="inlineStr">
        <is>
          <t>Account</t>
        </is>
      </c>
      <c r="E7" s="3" t="inlineStr">
        <is>
          <t>Update contact details</t>
        </is>
      </c>
      <c r="F7" s="3" t="inlineStr">
        <is>
          <t>Low</t>
        </is>
      </c>
      <c r="G7" s="3" t="inlineStr">
        <is>
          <t>Agent C</t>
        </is>
      </c>
      <c r="H7" s="3" t="inlineStr">
        <is>
          <t>Resolved</t>
        </is>
      </c>
      <c r="I7" s="3" t="n">
        <v>5</v>
      </c>
      <c r="J7" s="3" t="n">
        <v>20</v>
      </c>
      <c r="K7" s="9" t="n">
        <v>46274</v>
      </c>
      <c r="L7" s="3" t="n">
        <v>4</v>
      </c>
      <c r="M7" s="3" t="inlineStr">
        <is>
          <t>Request verified</t>
        </is>
      </c>
    </row>
    <row r="8">
      <c r="A8" s="3" t="inlineStr">
        <is>
          <t>Q-1007</t>
        </is>
      </c>
      <c r="B8" s="9" t="n">
        <v>46272</v>
      </c>
      <c r="C8" s="3" t="inlineStr">
        <is>
          <t>Services</t>
        </is>
      </c>
      <c r="D8" s="3" t="inlineStr">
        <is>
          <t>Billing</t>
        </is>
      </c>
      <c r="E8" s="3" t="inlineStr">
        <is>
          <t>Duplicate charge</t>
        </is>
      </c>
      <c r="F8" s="3" t="inlineStr">
        <is>
          <t>Urgent</t>
        </is>
      </c>
      <c r="G8" s="3" t="inlineStr">
        <is>
          <t>Agent A</t>
        </is>
      </c>
      <c r="H8" s="3" t="inlineStr">
        <is>
          <t>In Progress</t>
        </is>
      </c>
      <c r="I8" s="3" t="n">
        <v>1</v>
      </c>
      <c r="J8" s="3" t="n"/>
      <c r="K8" s="9" t="n">
        <v>46273</v>
      </c>
      <c r="L8" s="3" t="n"/>
      <c r="M8" s="3" t="inlineStr">
        <is>
          <t>Escalated</t>
        </is>
      </c>
    </row>
    <row r="9">
      <c r="A9" s="3" t="inlineStr">
        <is>
          <t>Q-1008</t>
        </is>
      </c>
      <c r="B9" s="9" t="n">
        <v>46273</v>
      </c>
      <c r="C9" s="3" t="inlineStr">
        <is>
          <t>Retail</t>
        </is>
      </c>
      <c r="D9" s="3" t="inlineStr">
        <is>
          <t>Order Status</t>
        </is>
      </c>
      <c r="E9" s="3" t="inlineStr">
        <is>
          <t>Missing delivery item</t>
        </is>
      </c>
      <c r="F9" s="3" t="inlineStr">
        <is>
          <t>High</t>
        </is>
      </c>
      <c r="G9" s="3" t="inlineStr">
        <is>
          <t>Agent B</t>
        </is>
      </c>
      <c r="H9" s="3" t="inlineStr">
        <is>
          <t>Resolved</t>
        </is>
      </c>
      <c r="I9" s="3" t="n">
        <v>2</v>
      </c>
      <c r="J9" s="3" t="n">
        <v>10</v>
      </c>
      <c r="K9" s="9" t="n">
        <v>46274</v>
      </c>
      <c r="L9" s="3" t="n">
        <v>3</v>
      </c>
      <c r="M9" s="3" t="inlineStr">
        <is>
          <t>Replacement arranged</t>
        </is>
      </c>
    </row>
    <row r="10">
      <c r="A10" s="3" t="inlineStr">
        <is>
          <t>Q-1009</t>
        </is>
      </c>
      <c r="B10" s="9" t="n">
        <v>46274</v>
      </c>
      <c r="C10" s="3" t="inlineStr">
        <is>
          <t>Services</t>
        </is>
      </c>
      <c r="D10" s="3" t="inlineStr">
        <is>
          <t>Technical</t>
        </is>
      </c>
      <c r="E10" s="3" t="inlineStr">
        <is>
          <t>Page not loading</t>
        </is>
      </c>
      <c r="F10" s="3" t="inlineStr">
        <is>
          <t>Medium</t>
        </is>
      </c>
      <c r="G10" s="3" t="inlineStr">
        <is>
          <t>Agent C</t>
        </is>
      </c>
      <c r="H10" s="3" t="inlineStr">
        <is>
          <t>Open</t>
        </is>
      </c>
      <c r="I10" s="3" t="n"/>
      <c r="J10" s="3" t="n"/>
      <c r="K10" s="9" t="n">
        <v>46277</v>
      </c>
      <c r="L10" s="3" t="n"/>
      <c r="M10" s="3" t="inlineStr">
        <is>
          <t>Awaiting details</t>
        </is>
      </c>
    </row>
    <row r="11">
      <c r="A11" s="3" t="inlineStr">
        <is>
          <t>Q-1010</t>
        </is>
      </c>
      <c r="B11" s="9" t="n">
        <v>46275</v>
      </c>
      <c r="C11" s="3" t="inlineStr">
        <is>
          <t>Education</t>
        </is>
      </c>
      <c r="D11" s="3" t="inlineStr">
        <is>
          <t>Account</t>
        </is>
      </c>
      <c r="E11" s="3" t="inlineStr">
        <is>
          <t>Password reset</t>
        </is>
      </c>
      <c r="F11" s="3" t="inlineStr">
        <is>
          <t>Medium</t>
        </is>
      </c>
      <c r="G11" s="3" t="inlineStr">
        <is>
          <t>Agent A</t>
        </is>
      </c>
      <c r="H11" s="3" t="inlineStr">
        <is>
          <t>Resolved</t>
        </is>
      </c>
      <c r="I11" s="3" t="n">
        <v>2</v>
      </c>
      <c r="J11" s="3" t="n">
        <v>4</v>
      </c>
      <c r="K11" s="9" t="n">
        <v>46276</v>
      </c>
      <c r="L11" s="3" t="n">
        <v>5</v>
      </c>
      <c r="M11" s="3" t="inlineStr">
        <is>
          <t>Instructions sent</t>
        </is>
      </c>
    </row>
    <row r="12">
      <c r="A12" s="3" t="inlineStr">
        <is>
          <t>Q-1011</t>
        </is>
      </c>
      <c r="B12" s="9" t="n">
        <v>46276</v>
      </c>
      <c r="C12" s="3" t="inlineStr">
        <is>
          <t>Retail</t>
        </is>
      </c>
      <c r="D12" s="3" t="inlineStr">
        <is>
          <t>Return/Refund</t>
        </is>
      </c>
      <c r="E12" s="3" t="inlineStr">
        <is>
          <t>Exchange eligibility</t>
        </is>
      </c>
      <c r="F12" s="3" t="inlineStr">
        <is>
          <t>Medium</t>
        </is>
      </c>
      <c r="G12" s="3" t="inlineStr">
        <is>
          <t>Agent B</t>
        </is>
      </c>
      <c r="H12" s="3" t="inlineStr">
        <is>
          <t>In Progress</t>
        </is>
      </c>
      <c r="I12" s="3" t="n">
        <v>4</v>
      </c>
      <c r="J12" s="3" t="n"/>
      <c r="K12" s="9" t="n">
        <v>46278</v>
      </c>
      <c r="L12" s="3" t="n"/>
      <c r="M12" s="3" t="inlineStr">
        <is>
          <t>Waiting for photos</t>
        </is>
      </c>
    </row>
    <row r="13">
      <c r="A13" s="3" t="inlineStr">
        <is>
          <t>Q-1012</t>
        </is>
      </c>
      <c r="B13" s="9" t="n">
        <v>46277</v>
      </c>
      <c r="C13" s="3" t="inlineStr">
        <is>
          <t>Services</t>
        </is>
      </c>
      <c r="D13" s="3" t="inlineStr">
        <is>
          <t>Product Info</t>
        </is>
      </c>
      <c r="E13" s="3" t="inlineStr">
        <is>
          <t>Plan feature question</t>
        </is>
      </c>
      <c r="F13" s="3" t="inlineStr">
        <is>
          <t>Low</t>
        </is>
      </c>
      <c r="G13" s="3" t="inlineStr">
        <is>
          <t>Agent C</t>
        </is>
      </c>
      <c r="H13" s="3" t="inlineStr">
        <is>
          <t>Closed</t>
        </is>
      </c>
      <c r="I13" s="3" t="n">
        <v>3</v>
      </c>
      <c r="J13" s="3" t="n">
        <v>9</v>
      </c>
      <c r="K13" s="9" t="n">
        <v>46280</v>
      </c>
      <c r="L13" s="3" t="n">
        <v>4</v>
      </c>
      <c r="M13" s="3" t="inlineStr">
        <is>
          <t>Comparison sent</t>
        </is>
      </c>
    </row>
    <row r="14">
      <c r="A14" s="3" t="inlineStr">
        <is>
          <t>Q-1013</t>
        </is>
      </c>
      <c r="B14" s="9" t="n">
        <v>46278</v>
      </c>
      <c r="C14" s="3" t="inlineStr">
        <is>
          <t>Retail</t>
        </is>
      </c>
      <c r="D14" s="3" t="inlineStr">
        <is>
          <t>Billing</t>
        </is>
      </c>
      <c r="E14" s="3" t="inlineStr">
        <is>
          <t>Payment confirmation</t>
        </is>
      </c>
      <c r="F14" s="3" t="inlineStr">
        <is>
          <t>High</t>
        </is>
      </c>
      <c r="G14" s="3" t="inlineStr">
        <is>
          <t>Agent A</t>
        </is>
      </c>
      <c r="H14" s="3" t="inlineStr">
        <is>
          <t>Open</t>
        </is>
      </c>
      <c r="I14" s="3" t="n"/>
      <c r="J14" s="3" t="n"/>
      <c r="K14" s="9" t="n">
        <v>46279</v>
      </c>
      <c r="L14" s="3" t="n"/>
      <c r="M14" s="3" t="inlineStr">
        <is>
          <t>Check reference</t>
        </is>
      </c>
    </row>
    <row r="15">
      <c r="A15" s="3" t="inlineStr">
        <is>
          <t>Q-1014</t>
        </is>
      </c>
      <c r="B15" s="9" t="n">
        <v>46279</v>
      </c>
      <c r="C15" s="3" t="inlineStr">
        <is>
          <t>Education</t>
        </is>
      </c>
      <c r="D15" s="3" t="inlineStr">
        <is>
          <t>Technical</t>
        </is>
      </c>
      <c r="E15" s="3" t="inlineStr">
        <is>
          <t>File upload error</t>
        </is>
      </c>
      <c r="F15" s="3" t="inlineStr">
        <is>
          <t>High</t>
        </is>
      </c>
      <c r="G15" s="3" t="inlineStr">
        <is>
          <t>Agent C</t>
        </is>
      </c>
      <c r="H15" s="3" t="inlineStr">
        <is>
          <t>Resolved</t>
        </is>
      </c>
      <c r="I15" s="3" t="n">
        <v>1</v>
      </c>
      <c r="J15" s="3" t="n">
        <v>6</v>
      </c>
      <c r="K15" s="9" t="n">
        <v>46280</v>
      </c>
      <c r="L15" s="3" t="n">
        <v>4</v>
      </c>
      <c r="M15" s="3" t="inlineStr">
        <is>
          <t>Format suggestion sent</t>
        </is>
      </c>
    </row>
    <row r="16">
      <c r="A16" s="3" t="inlineStr">
        <is>
          <t>Q-1015</t>
        </is>
      </c>
      <c r="B16" s="9" t="n">
        <v>46280</v>
      </c>
      <c r="C16" s="3" t="inlineStr">
        <is>
          <t>Services</t>
        </is>
      </c>
      <c r="D16" s="3" t="inlineStr">
        <is>
          <t>Other</t>
        </is>
      </c>
      <c r="E16" s="3" t="inlineStr">
        <is>
          <t>General feedback</t>
        </is>
      </c>
      <c r="F16" s="3" t="inlineStr">
        <is>
          <t>Low</t>
        </is>
      </c>
      <c r="G16" s="3" t="inlineStr">
        <is>
          <t>Agent B</t>
        </is>
      </c>
      <c r="H16" s="3" t="inlineStr">
        <is>
          <t>Closed</t>
        </is>
      </c>
      <c r="I16" s="3" t="n">
        <v>5</v>
      </c>
      <c r="J16" s="3" t="n">
        <v>22</v>
      </c>
      <c r="K16" s="9" t="n">
        <v>46283</v>
      </c>
      <c r="L16" s="3" t="n">
        <v>3</v>
      </c>
      <c r="M16" s="3" t="inlineStr">
        <is>
          <t>Feedback logged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30" customHeight="1">
      <c r="A1" s="8" t="inlineStr">
        <is>
          <t>Status</t>
        </is>
      </c>
      <c r="B1" s="8" t="inlineStr">
        <is>
          <t>Ticket Count</t>
        </is>
      </c>
    </row>
    <row r="2">
      <c r="A2" s="3" t="inlineStr">
        <is>
          <t>Open</t>
        </is>
      </c>
      <c r="B2" s="3">
        <f>COUNTIF('Query Tracker'!H2:H1000,A2)</f>
        <v/>
      </c>
    </row>
    <row r="3">
      <c r="A3" s="3" t="inlineStr">
        <is>
          <t>In Progress</t>
        </is>
      </c>
      <c r="B3" s="3">
        <f>COUNTIF('Query Tracker'!H2:H1000,A3)</f>
        <v/>
      </c>
    </row>
    <row r="4">
      <c r="A4" s="3" t="inlineStr">
        <is>
          <t>Resolved</t>
        </is>
      </c>
      <c r="B4" s="3">
        <f>COUNTIF('Query Tracker'!H2:H1000,A4)</f>
        <v/>
      </c>
    </row>
    <row r="5">
      <c r="A5" s="3" t="inlineStr">
        <is>
          <t>Closed</t>
        </is>
      </c>
      <c r="B5" s="3">
        <f>COUNTIF('Query Tracker'!H2:H1000,A5)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2026-10-09T13:27:05Z</dcterms:created>
  <dcterms:modified xmlns:dcterms="http://purl.org/dc/terms/" xmlns:xsi="http://www.w3.org/2001/XMLSchema-instance" xsi:type="dcterms:W3CDTF">2026-10-09T13:27:05Z</dcterms:modified>
</cp:coreProperties>
</file>