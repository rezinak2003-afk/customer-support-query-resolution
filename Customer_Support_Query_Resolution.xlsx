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3983bcb2f943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156a125049c476b"/>
    <x:sheet xmlns:r="http://schemas.openxmlformats.org/officeDocument/2006/relationships" name="Ticket Tracker" sheetId="2" r:id="Rf474ec910b6b4b03"/>
    <x:sheet xmlns:r="http://schemas.openxmlformats.org/officeDocument/2006/relationships" name="Reply Templates" sheetId="3" r:id="R3945b631497842e8"/>
    <x:sheet xmlns:r="http://schemas.openxmlformats.org/officeDocument/2006/relationships" name="SLA Matrix" sheetId="4" r:id="R0f96ed4cd7a048cb"/>
    <x:sheet xmlns:r="http://schemas.openxmlformats.org/officeDocument/2006/relationships" name="How to Use" sheetId="5" r:id="R7c7f5ad63bb24c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"/>
    <x:numFmt numFmtId="201" formatCode="0%"/>
    <x:numFmt numFmtId="202" formatCode="dd-mmm-yyyy"/>
  </x:numFmts>
  <x:fonts count="1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7365D"/>
      <x:name val="Carlito"/>
    </x:font>
    <x:font>
      <x:b/>
      <x:sz val="9"/>
      <x:color rgb="FFFFFFFF"/>
      <x:name val="Carlito"/>
    </x:font>
    <x:font>
      <x:b/>
      <x:sz val="22"/>
      <x:color rgb="FF17365D"/>
      <x:name val="Carlito"/>
    </x:font>
    <x:font>
      <x:b/>
      <x:sz val="12"/>
      <x:color rgb="FF17365D"/>
      <x:name val="Carlito"/>
    </x:font>
    <x:font>
      <x:b/>
      <x:sz val="11"/>
      <x:color rgb="FFFFFFFF"/>
      <x:name val="Carlito"/>
    </x:font>
    <x:font>
      <x:sz val="10"/>
      <x:color rgb="FF243447"/>
      <x:name val="Carlito"/>
    </x:font>
    <x:font>
      <x:b/>
      <x:sz val="11"/>
      <x:color rgb="FF17365D"/>
      <x:name val="Carlito"/>
    </x:font>
    <x:font>
      <x:sz val="10"/>
      <x:color rgb="FF7F6000"/>
      <x:name val="Carlito"/>
    </x:font>
    <x:font>
      <x:b/>
      <x:sz val="16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</x:fills>
  <x:borders count="2">
    <x:border/>
    <x:border/>
  </x:borders>
  <x:cellStyleXfs count="1">
    <x:xf numFmtId="0" fontId="0" fillId="0" borderId="0"/>
  </x:cellStyleXfs>
  <x:cellXfs count="7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left" wrapText="1"/>
    </x:xf>
    <x:xf numFmtId="0" fontId="2" fillId="3" borderId="1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horizont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6" fillId="4" borderId="1" xfId="0" applyNumberFormat="1" applyFont="1" applyFill="1" applyBorder="1"/>
    <x:xf numFmtId="0" fontId="6" fillId="4" borderId="1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horizontal="center" wrapText="1"/>
    </x:xf>
    <x:xf numFmtId="0" fontId="6" fillId="4" borderId="1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center" wrapText="1"/>
    </x:xf>
    <x:xf numFmtId="0" fontId="7" fillId="0" borderId="1" xfId="0" applyNumberFormat="1" applyFont="1" applyFill="1" applyBorder="1"/>
    <x:xf numFmtId="0" fontId="7" fillId="0" borderId="1" xfId="0" applyNumberFormat="1" applyFont="1" applyFill="1" applyBorder="1" applyAlignment="1">
      <x:alignment wrapText="1"/>
    </x:xf>
    <x:xf numFmtId="0" fontId="7" fillId="0" borderId="1" xfId="0" applyNumberFormat="1" applyFont="1" applyFill="1" applyBorder="1" applyAlignment="1">
      <x:alignment vertical="center" wrapText="1"/>
    </x:xf>
    <x:xf numFmtId="200" fontId="7" fillId="0" borderId="0" xfId="0" applyNumberFormat="1" applyFont="1" applyFill="1" applyBorder="1" applyAlignment="1">
      <x:alignment vertical="center" wrapText="1"/>
    </x:xf>
    <x:xf numFmtId="200" fontId="7" fillId="0" borderId="1" xfId="0" applyNumberFormat="1" applyFont="1" applyFill="1" applyBorder="1" applyAlignment="1">
      <x:alignment vertical="center" wrapText="1"/>
    </x:xf>
    <x:xf numFmtId="201" fontId="7" fillId="0" borderId="0" xfId="0" applyNumberFormat="1" applyFont="1" applyFill="1" applyBorder="1" applyAlignment="1">
      <x:alignment vertical="center" wrapText="1"/>
    </x:xf>
    <x:xf numFmtId="201" fontId="7" fillId="0" borderId="1" xfId="0" applyNumberFormat="1" applyFont="1" applyFill="1" applyBorder="1" applyAlignment="1">
      <x:alignment vertical="center" wrapText="1"/>
    </x:xf>
    <x:xf numFmtId="0" fontId="8" fillId="3" borderId="0" xfId="0" applyNumberFormat="1" applyFont="1" applyFill="1" applyBorder="1"/>
    <x:xf numFmtId="0" fontId="8" fillId="3" borderId="1" xfId="0" applyNumberFormat="1" applyFont="1" applyFill="1" applyBorder="1"/>
    <x:xf numFmtId="0" fontId="0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0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9" fillId="6" borderId="1" xfId="0" applyNumberFormat="1" applyFont="1" applyFill="1" applyBorder="1"/>
    <x:xf numFmtId="0" fontId="9" fillId="6" borderId="1" xfId="0" applyNumberFormat="1" applyFont="1" applyFill="1" applyBorder="1" applyAlignment="1">
      <x:alignment wrapText="1"/>
    </x:xf>
    <x:xf numFmtId="0" fontId="9" fillId="6" borderId="1" xfId="0" applyNumberFormat="1" applyFont="1" applyFill="1" applyBorder="1" applyAlignment="1">
      <x:alignment vertical="center" wrapText="1"/>
    </x:xf>
    <x:xf numFmtId="0" fontId="10" fillId="2" borderId="0" xfId="0" applyNumberFormat="1" applyFont="1" applyFill="1" applyBorder="1"/>
    <x:xf numFmtId="0" fontId="10" fillId="2" borderId="1" xfId="0" applyNumberFormat="1" applyFont="1" applyFill="1" applyBorder="1"/>
    <x:xf numFmtId="202" fontId="7" fillId="0" borderId="0" xfId="0" applyNumberFormat="1" applyFont="1" applyFill="1" applyBorder="1" applyAlignment="1">
      <x:alignment vertical="center" wrapText="1"/>
    </x:xf>
    <x:xf numFmtId="202" fontId="7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b/>
        <x:color rgb="FF990000"/>
      </x:font>
      <x:fill>
        <x:patternFill patternType="solid">
          <x:bgColor rgb="FFF4CCCC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3d742ff7b043cb" /><Relationship Type="http://schemas.openxmlformats.org/officeDocument/2006/relationships/theme" Target="/xl/theme/theme1.xml" Id="R83a5c1a06ecb4d59" /><Relationship Type="http://schemas.openxmlformats.org/officeDocument/2006/relationships/sharedStrings" Target="/xl/sharedStrings.xml" Id="R2ab08a8c6c424927" /><Relationship Type="http://schemas.openxmlformats.org/officeDocument/2006/relationships/worksheet" Target="/xl/worksheets/sheet1.xml" Id="Re156a125049c476b" /><Relationship Type="http://schemas.openxmlformats.org/officeDocument/2006/relationships/worksheet" Target="/xl/worksheets/sheet2.xml" Id="Rf474ec910b6b4b03" /><Relationship Type="http://schemas.openxmlformats.org/officeDocument/2006/relationships/worksheet" Target="/xl/worksheets/sheet3.xml" Id="R3945b631497842e8" /><Relationship Type="http://schemas.openxmlformats.org/officeDocument/2006/relationships/worksheet" Target="/xl/worksheets/sheet4.xml" Id="R0f96ed4cd7a048cb" /><Relationship Type="http://schemas.openxmlformats.org/officeDocument/2006/relationships/worksheet" Target="/xl/worksheets/sheet5.xml" Id="R7c7f5ad63bb24c6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95432e93b6c4c4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Tickets by Status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Tickets</c:v>
          </c:tx>
          <c:cat>
            <c:strRef>
              <c:f>'Dashboard'!$D$10:$D$14</c:f>
              <c:strCache>
                <c:ptCount val="0"/>
              </c:strCache>
            </c:strRef>
          </c:cat>
          <c:val>
            <c:numRef>
              <c:f>'Dashboard'!$E$10:$E$14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15</xdr:row>
      <xdr:rowOff>0</xdr:rowOff>
    </xdr:from>
    <xdr:to>
      <xdr:col>8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5432e93b6c4c4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upportTicketTracker" displayName="SupportTicketTracker" ref="A4:O34" headerRowCount="1" totalsRowCount="0" totalsRowShown="0">
  <x:tableColumns count="15">
    <x:tableColumn id="1" name="Ticket ID"/>
    <x:tableColumn id="2" name="Channel"/>
    <x:tableColumn id="3" name="Category"/>
    <x:tableColumn id="4" name="Priority"/>
    <x:tableColumn id="5" name="Customer Language"/>
    <x:tableColumn id="6" name="Created Date"/>
    <x:tableColumn id="7" name="First Response (min)"/>
    <x:tableColumn id="8" name="Resolution (hrs)"/>
    <x:tableColumn id="9" name="CSAT (1-5)"/>
    <x:tableColumn id="10" name="Status"/>
    <x:tableColumn id="11" name="Owner"/>
    <x:tableColumn id="12" name="Escalation Tier"/>
    <x:tableColumn id="13" name="First Response SLA"/>
    <x:tableColumn id="14" name="Resolution SLA"/>
    <x:tableColumn id="15" name="Data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805ad8c1614434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933f4ff81ef43dd" /></Relationships>
</file>

<file path=xl/worksheets/sheet1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defaultRowHeight="15"/>
  <x:cols>
    <x:col min="1" max="1" width="24" hidden="0" customWidth="1"/>
    <x:col min="2" max="2" width="16" hidden="0" customWidth="1"/>
    <x:col min="3" max="3" width="4" hidden="0" customWidth="1"/>
    <x:col min="4" max="4" width="25" hidden="0" customWidth="1"/>
    <x:col min="5" max="5" width="14" hidden="0" customWidth="1"/>
    <x:col min="6" max="6" width="4" hidden="0" customWidth="1"/>
    <x:col min="7" max="7" width="18" hidden="0" customWidth="1"/>
    <x:col min="8" max="8" width="15" hidden="0" customWidth="1"/>
  </x:cols>
  <x:sheetData>
    <x:row r="1" ht="32" customHeight="1">
      <x:c r="A1" s="5" t="str">
        <x:v>CUSTOMER SUPPORT HELPDESK</x:v>
      </x:c>
      <x:c r="B1" s="5"/>
      <x:c r="C1" s="5"/>
      <x:c r="D1" s="5"/>
      <x:c r="E1" s="5"/>
      <x:c r="F1" s="5"/>
      <x:c r="G1" s="5"/>
      <x:c r="H1" s="5"/>
    </x:row>
    <x:row r="2" ht="25" customHeight="1">
      <x:c r="A2" s="14" t="str">
        <x:v>Portfolio simulation | 30 synthetic tickets | English/Hindi templates | illustrative SLA targets</x:v>
      </x:c>
      <x:c r="B2" s="14"/>
      <x:c r="C2" s="14"/>
      <x:c r="D2" s="14"/>
      <x:c r="E2" s="14"/>
      <x:c r="F2" s="14"/>
      <x:c r="G2" s="14"/>
      <x:c r="H2" s="14"/>
    </x:row>
    <x:row r="4" ht="22" customHeight="1">
      <x:c r="A4" s="23" t="str">
        <x:v>TOTAL TICKETS</x:v>
      </x:c>
      <x:c r="B4" s="23"/>
      <x:c r="C4" s="23" t="str">
        <x:v>OPEN / ACTIVE</x:v>
      </x:c>
      <x:c r="D4" s="23"/>
      <x:c r="E4" s="23" t="str">
        <x:v>URGENT</x:v>
      </x:c>
      <x:c r="F4" s="23"/>
      <x:c r="G4" s="23" t="str">
        <x:v>RESOLVED / CLOSED</x:v>
      </x:c>
      <x:c r="H4" s="23"/>
    </x:row>
    <x:row r="5" ht="28" customHeight="1">
      <x:c r="A5" s="31" t="n">
        <x:f>COUNTA('Ticket Tracker'!A5:A34)</x:f>
        <x:v>30</x:v>
      </x:c>
      <x:c r="B5" s="31"/>
      <x:c r="C5" s="31" t="n">
        <x:f>COUNTIF('Ticket Tracker'!J5:J34,"New")+COUNTIF('Ticket Tracker'!J5:J34,"In Progress")+COUNTIF('Ticket Tracker'!J5:J34,"Waiting on Customer")</x:f>
        <x:v>18</x:v>
      </x:c>
      <x:c r="D5" s="31"/>
      <x:c r="E5" s="31" t="n">
        <x:f>COUNTIF('Ticket Tracker'!D5:D34,"Urgent")</x:f>
        <x:v>8</x:v>
      </x:c>
      <x:c r="F5" s="31"/>
      <x:c r="G5" s="31" t="n">
        <x:f>COUNTIF('Ticket Tracker'!J5:J34,"Resolved")+COUNTIF('Ticket Tracker'!J5:J34,"Closed")</x:f>
        <x:v>12</x:v>
      </x:c>
      <x:c r="H5" s="31"/>
    </x:row>
    <x:row r="6" ht="28" customHeight="1">
      <x:c r="A6" s="31"/>
      <x:c r="B6" s="31"/>
      <x:c r="C6" s="31"/>
      <x:c r="D6" s="31"/>
      <x:c r="E6" s="31"/>
      <x:c r="F6" s="31"/>
      <x:c r="G6" s="31"/>
      <x:c r="H6" s="31"/>
    </x:row>
    <x:row r="8" ht="24" customHeight="1">
      <x:c r="A8" s="36" t="str">
        <x:v>SERVICE QUALITY</x:v>
      </x:c>
      <x:c r="B8" s="36"/>
      <x:c r="C8" s="36"/>
      <x:c r="D8" s="36" t="str">
        <x:v>TICKET STATUS SUMMARY</x:v>
      </x:c>
      <x:c r="E8" s="36"/>
      <x:c r="F8" s="36"/>
      <x:c r="G8" s="36"/>
      <x:c r="H8" s="36"/>
    </x:row>
    <x:row r="9" ht="30" customHeight="1">
      <x:c r="A9" s="41" t="str">
        <x:v>Metric</x:v>
      </x:c>
      <x:c r="B9" s="41" t="str">
        <x:v>Value</x:v>
      </x:c>
      <x:c r="D9" s="41" t="str">
        <x:v>Status</x:v>
      </x:c>
      <x:c r="E9" s="41" t="str">
        <x:v>Tickets</x:v>
      </x:c>
    </x:row>
    <x:row r="10">
      <x:c r="A10" s="48" t="str">
        <x:v>Avg. elapsed / resolution time (hours)</x:v>
      </x:c>
      <x:c r="B10" s="52" t="n">
        <x:f>IFERROR(AVERAGE('Ticket Tracker'!H5:H34),0)</x:f>
        <x:v>10.2</x:v>
      </x:c>
      <x:c r="D10" s="48" t="str">
        <x:v>New</x:v>
      </x:c>
      <x:c r="E10" s="48" t="n">
        <x:f>COUNTIF('Ticket Tracker'!J5:J34,D10)</x:f>
        <x:v>6</x:v>
      </x:c>
    </x:row>
    <x:row r="11">
      <x:c r="A11" s="48" t="str">
        <x:v>Average CSAT (1-5)</x:v>
      </x:c>
      <x:c r="B11" s="52" t="n">
        <x:f>IFERROR(AVERAGE('Ticket Tracker'!I5:I34),0)</x:f>
        <x:v>4.5</x:v>
      </x:c>
      <x:c r="D11" s="48" t="str">
        <x:v>In Progress</x:v>
      </x:c>
      <x:c r="E11" s="48" t="n">
        <x:f>COUNTIF('Ticket Tracker'!J5:J34,D11)</x:f>
        <x:v>6</x:v>
      </x:c>
    </x:row>
    <x:row r="12">
      <x:c r="A12" s="48" t="str">
        <x:v>First-response SLA attainment</x:v>
      </x:c>
      <x:c r="B12" s="54" t="n">
        <x:f>IFERROR(COUNTIF('Ticket Tracker'!M5:M34,"Within SLA")/COUNTA('Ticket Tracker'!A5:A34),0)</x:f>
        <x:v>0.5666666666666667</x:v>
      </x:c>
      <x:c r="D12" s="48" t="str">
        <x:v>Waiting on Customer</x:v>
      </x:c>
      <x:c r="E12" s="48" t="n">
        <x:f>COUNTIF('Ticket Tracker'!J5:J34,D12)</x:f>
        <x:v>6</x:v>
      </x:c>
    </x:row>
    <x:row r="13">
      <x:c r="D13" s="48" t="str">
        <x:v>Resolved</x:v>
      </x:c>
      <x:c r="E13" s="48" t="n">
        <x:f>COUNTIF('Ticket Tracker'!J5:J34,D13)</x:f>
        <x:v>6</x:v>
      </x:c>
    </x:row>
    <x:row r="14">
      <x:c r="D14" s="48" t="str">
        <x:v>Closed</x:v>
      </x:c>
      <x:c r="E14" s="48" t="n">
        <x:f>COUNTIF('Ticket Tracker'!J5:J34,D14)</x:f>
        <x:v>6</x:v>
      </x:c>
    </x:row>
    <x:row r="15">
      <x:c r="A15" s="56" t="str">
        <x:v>DATA NOTE</x:v>
      </x:c>
      <x:c r="B15" s="56"/>
    </x:row>
    <x:row r="16">
      <x:c r="A16" s="61" t="str">
        <x:v>All tickets and service data are synthetic examples. SLA targets are illustrative practice targets—not a contractual promise or a real employer policy. Customer details are anonymised placeholders.</x:v>
      </x:c>
      <x:c r="B16" s="61"/>
      <x:c r="C16" s="61"/>
    </x:row>
    <x:row r="17">
      <x:c r="A17" s="61"/>
      <x:c r="B17" s="61"/>
      <x:c r="C17" s="61"/>
    </x:row>
    <x:row r="18">
      <x:c r="A18" s="61"/>
      <x:c r="B18" s="61"/>
      <x:c r="C18" s="61"/>
    </x:row>
    <x:row r="19">
      <x:c r="A19" s="61"/>
      <x:c r="B19" s="61"/>
      <x:c r="C19" s="61"/>
    </x:row>
  </x:sheetData>
  <x:mergeCells>
    <x:mergeCell ref="A1:H1"/>
    <x:mergeCell ref="A2:H2"/>
    <x:mergeCell ref="A4:B4"/>
    <x:mergeCell ref="A5:B6"/>
    <x:mergeCell ref="C4:D4"/>
    <x:mergeCell ref="C5:D6"/>
    <x:mergeCell ref="E4:F4"/>
    <x:mergeCell ref="E5:F6"/>
    <x:mergeCell ref="G4:H4"/>
    <x:mergeCell ref="G5:H6"/>
    <x:mergeCell ref="A8:D8"/>
    <x:mergeCell ref="D8:H8"/>
    <x:mergeCell ref="A15:B15"/>
    <x:mergeCell ref="A16:C19"/>
  </x:mergeCells>
  <x:pageMargins left="0.7" right="0.7" top="0.75" bottom="0.75" header="0.3" footer="0.3"/>
  <x:drawing xmlns:r="http://schemas.openxmlformats.org/officeDocument/2006/relationships" r:id="R6805ad8c16144349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3" hidden="0" customWidth="1"/>
    <x:col min="3" max="3" width="21" hidden="0" customWidth="1"/>
    <x:col min="4" max="4" width="13" hidden="0" customWidth="1"/>
    <x:col min="5" max="5" width="20" hidden="0" customWidth="1"/>
    <x:col min="6" max="6" width="16" hidden="0" customWidth="1"/>
    <x:col min="7" max="7" width="21" hidden="0" customWidth="1"/>
    <x:col min="8" max="8" width="17" hidden="0" customWidth="1"/>
    <x:col min="9" max="9" width="12" hidden="0" customWidth="1"/>
    <x:col min="10" max="10" width="23" hidden="0" customWidth="1"/>
    <x:col min="11" max="11" width="15" hidden="0" customWidth="1"/>
    <x:col min="12" max="12" width="17" hidden="0" customWidth="1"/>
    <x:col min="13" max="13" width="20" hidden="0" customWidth="1"/>
    <x:col min="14" max="14" width="20" hidden="0" customWidth="1"/>
    <x:col min="15" max="15" width="42" hidden="0" customWidth="1"/>
  </x:cols>
  <x:sheetData>
    <x:row r="1" ht="30" customHeight="1">
      <x:c r="A1" s="66" t="str">
        <x:v>CUSTOMER SUPPORT TICKET TRACKER</x:v>
      </x:c>
      <x:c r="B1" s="66"/>
      <x:c r="C1" s="66"/>
      <x:c r="D1" s="66"/>
      <x:c r="E1" s="66"/>
      <x:c r="F1" s="66"/>
      <x:c r="G1" s="66"/>
      <x:c r="H1" s="66"/>
      <x:c r="I1" s="66"/>
      <x:c r="J1" s="66"/>
      <x:c r="K1" s="66"/>
      <x:c r="L1" s="66"/>
      <x:c r="M1" s="66"/>
      <x:c r="N1" s="66"/>
      <x:c r="O1" s="66"/>
    </x:row>
    <x:row r="2" ht="28" customHeight="1">
      <x:c r="A2" s="12" t="str">
        <x:v>Edit priority, status, channel and response metrics to practise triage. SLA flags reference the illustrative targets on the SLA Matrix sheet.</x:v>
      </x:c>
      <x:c r="B2" s="12"/>
      <x:c r="C2" s="12"/>
      <x:c r="D2" s="12"/>
      <x:c r="E2" s="12"/>
      <x:c r="F2" s="12"/>
      <x:c r="G2" s="12"/>
      <x:c r="H2" s="12"/>
      <x:c r="I2" s="12"/>
      <x:c r="J2" s="12"/>
      <x:c r="K2" s="12"/>
      <x:c r="L2" s="12"/>
      <x:c r="M2" s="12"/>
      <x:c r="N2" s="12"/>
      <x:c r="O2" s="12"/>
    </x:row>
    <x:row r="4" ht="30" customHeight="1">
      <x:c r="A4" s="41" t="str">
        <x:v>Ticket ID</x:v>
      </x:c>
      <x:c r="B4" s="41" t="str">
        <x:v>Channel</x:v>
      </x:c>
      <x:c r="C4" s="41" t="str">
        <x:v>Category</x:v>
      </x:c>
      <x:c r="D4" s="41" t="str">
        <x:v>Priority</x:v>
      </x:c>
      <x:c r="E4" s="41" t="str">
        <x:v>Customer Language</x:v>
      </x:c>
      <x:c r="F4" s="41" t="str">
        <x:v>Created Date</x:v>
      </x:c>
      <x:c r="G4" s="41" t="str">
        <x:v>First Response (min)</x:v>
      </x:c>
      <x:c r="H4" s="41" t="str">
        <x:v>Elapsed / Resolution (hrs)</x:v>
      </x:c>
      <x:c r="I4" s="41" t="str">
        <x:v>CSAT (1-5)</x:v>
      </x:c>
      <x:c r="J4" s="41" t="str">
        <x:v>Status</x:v>
      </x:c>
      <x:c r="K4" s="41" t="str">
        <x:v>Owner</x:v>
      </x:c>
      <x:c r="L4" s="41" t="str">
        <x:v>Escalation Tier</x:v>
      </x:c>
      <x:c r="M4" s="41" t="str">
        <x:v>First Response SLA</x:v>
      </x:c>
      <x:c r="N4" s="41" t="str">
        <x:v>Resolution SLA</x:v>
      </x:c>
      <x:c r="O4" s="41" t="str">
        <x:v>Data Note</x:v>
      </x:c>
    </x:row>
    <x:row r="5">
      <x:c r="A5" s="48" t="str">
        <x:v>TKT-001</x:v>
      </x:c>
      <x:c r="B5" s="48" t="str">
        <x:v>Email</x:v>
      </x:c>
      <x:c r="C5" s="48" t="str">
        <x:v>Delivery delay</x:v>
      </x:c>
      <x:c r="D5" s="48" t="str">
        <x:v>High</x:v>
      </x:c>
      <x:c r="E5" s="48" t="str">
        <x:v>English</x:v>
      </x:c>
      <x:c r="F5" s="68" t="n">
        <x:v>46304</x:v>
      </x:c>
      <x:c r="G5" s="48" t="n">
        <x:v>8</x:v>
      </x:c>
      <x:c r="H5" s="48" t="n">
        <x:v>2.5</x:v>
      </x:c>
      <x:c r="I5" s="48" t="n">
        <x:v>5</x:v>
      </x:c>
      <x:c r="J5" s="48" t="str">
        <x:v>Resolved</x:v>
      </x:c>
      <x:c r="K5" s="48" t="str">
        <x:v>Support A</x:v>
      </x:c>
      <x:c r="L5" s="48" t="str">
        <x:v>Tier 1</x:v>
      </x:c>
      <x:c r="M5" s="48" t="str">
        <x:f>IF(G5&lt;=IFERROR(VLOOKUP(D5,'SLA Matrix'!$A$5:$C$8,2,FALSE),0),"Within SLA","Breached")</x:f>
        <x:v>Within SLA</x:v>
      </x:c>
      <x:c r="N5" s="48" t="str">
        <x:f>IF(H5&lt;=IFERROR(VLOOKUP(D5,'SLA Matrix'!$A$5:$C$8,3,FALSE),0),"Within SLA","Breached")</x:f>
        <x:v>Within SLA</x:v>
      </x:c>
      <x:c r="O5" s="48" t="str">
        <x:v>Fictional sample; no real customer data.</x:v>
      </x:c>
    </x:row>
    <x:row r="6">
      <x:c r="A6" s="48" t="str">
        <x:v>TKT-002</x:v>
      </x:c>
      <x:c r="B6" s="48" t="str">
        <x:v>Web form</x:v>
      </x:c>
      <x:c r="C6" s="48" t="str">
        <x:v>Order cancellation</x:v>
      </x:c>
      <x:c r="D6" s="48" t="str">
        <x:v>Urgent</x:v>
      </x:c>
      <x:c r="E6" s="48" t="str">
        <x:v>Hindi</x:v>
      </x:c>
      <x:c r="F6" s="68" t="n">
        <x:v>46303</x:v>
      </x:c>
      <x:c r="G6" s="48" t="n">
        <x:v>20</x:v>
      </x:c>
      <x:c r="H6" s="48" t="n">
        <x:v>5</x:v>
      </x:c>
      <x:c r="I6" s="48"/>
      <x:c r="J6" s="48" t="str">
        <x:v>New</x:v>
      </x:c>
      <x:c r="K6" s="48" t="str">
        <x:v>Support B</x:v>
      </x:c>
      <x:c r="L6" s="48" t="str">
        <x:v>Tier 2</x:v>
      </x:c>
      <x:c r="M6" s="48" t="str">
        <x:f>IF(G6&lt;=IFERROR(VLOOKUP(D6,'SLA Matrix'!$A$5:$C$8,2,FALSE),0),"Within SLA","Breached")</x:f>
        <x:v>Breached</x:v>
      </x:c>
      <x:c r="N6" s="48" t="str">
        <x:f>IF(H6&lt;=IFERROR(VLOOKUP(D6,'SLA Matrix'!$A$5:$C$8,3,FALSE),0),"Within SLA","Breached")</x:f>
        <x:v>Breached</x:v>
      </x:c>
      <x:c r="O6" s="48" t="str">
        <x:v>Fictional sample; no real customer data.</x:v>
      </x:c>
    </x:row>
    <x:row r="7">
      <x:c r="A7" s="48" t="str">
        <x:v>TKT-003</x:v>
      </x:c>
      <x:c r="B7" s="48" t="str">
        <x:v>Chat</x:v>
      </x:c>
      <x:c r="C7" s="48" t="str">
        <x:v>Damaged item</x:v>
      </x:c>
      <x:c r="D7" s="48" t="str">
        <x:v>Low</x:v>
      </x:c>
      <x:c r="E7" s="48" t="str">
        <x:v>English</x:v>
      </x:c>
      <x:c r="F7" s="68" t="n">
        <x:v>46302</x:v>
      </x:c>
      <x:c r="G7" s="48" t="n">
        <x:v>47</x:v>
      </x:c>
      <x:c r="H7" s="48" t="n">
        <x:v>7</x:v>
      </x:c>
      <x:c r="I7" s="48"/>
      <x:c r="J7" s="48" t="str">
        <x:v>Waiting on Customer</x:v>
      </x:c>
      <x:c r="K7" s="48" t="str">
        <x:v>Support C</x:v>
      </x:c>
      <x:c r="L7" s="48" t="str">
        <x:v>Tier 1</x:v>
      </x:c>
      <x:c r="M7" s="48" t="str">
        <x:f>IF(G7&lt;=IFERROR(VLOOKUP(D7,'SLA Matrix'!$A$5:$C$8,2,FALSE),0),"Within SLA","Breached")</x:f>
        <x:v>Within SLA</x:v>
      </x:c>
      <x:c r="N7" s="48" t="str">
        <x:f>IF(H7&lt;=IFERROR(VLOOKUP(D7,'SLA Matrix'!$A$5:$C$8,3,FALSE),0),"Within SLA","Breached")</x:f>
        <x:v>Within SLA</x:v>
      </x:c>
      <x:c r="O7" s="48" t="str">
        <x:v>Fictional sample; no real customer data.</x:v>
      </x:c>
    </x:row>
    <x:row r="8">
      <x:c r="A8" s="48" t="str">
        <x:v>TKT-004</x:v>
      </x:c>
      <x:c r="B8" s="48" t="str">
        <x:v>Email</x:v>
      </x:c>
      <x:c r="C8" s="48" t="str">
        <x:v>Wrong item</x:v>
      </x:c>
      <x:c r="D8" s="48" t="str">
        <x:v>Normal</x:v>
      </x:c>
      <x:c r="E8" s="48" t="str">
        <x:v>Hindi</x:v>
      </x:c>
      <x:c r="F8" s="68" t="n">
        <x:v>46301</x:v>
      </x:c>
      <x:c r="G8" s="48" t="n">
        <x:v>75</x:v>
      </x:c>
      <x:c r="H8" s="48" t="n">
        <x:v>11</x:v>
      </x:c>
      <x:c r="I8" s="48" t="n">
        <x:v>5</x:v>
      </x:c>
      <x:c r="J8" s="48" t="str">
        <x:v>Closed</x:v>
      </x:c>
      <x:c r="K8" s="48" t="str">
        <x:v>Tier 2</x:v>
      </x:c>
      <x:c r="L8" s="48" t="str">
        <x:v>Tier 1</x:v>
      </x:c>
      <x:c r="M8" s="48" t="str">
        <x:f>IF(G8&lt;=IFERROR(VLOOKUP(D8,'SLA Matrix'!$A$5:$C$8,2,FALSE),0),"Within SLA","Breached")</x:f>
        <x:v>Within SLA</x:v>
      </x:c>
      <x:c r="N8" s="48" t="str">
        <x:f>IF(H8&lt;=IFERROR(VLOOKUP(D8,'SLA Matrix'!$A$5:$C$8,3,FALSE),0),"Within SLA","Breached")</x:f>
        <x:v>Within SLA</x:v>
      </x:c>
      <x:c r="O8" s="48" t="str">
        <x:v>Fictional sample; no real customer data.</x:v>
      </x:c>
    </x:row>
    <x:row r="9">
      <x:c r="A9" s="48" t="str">
        <x:v>TKT-005</x:v>
      </x:c>
      <x:c r="B9" s="48" t="str">
        <x:v>Web form</x:v>
      </x:c>
      <x:c r="C9" s="48" t="str">
        <x:v>Account access</x:v>
      </x:c>
      <x:c r="D9" s="48" t="str">
        <x:v>High</x:v>
      </x:c>
      <x:c r="E9" s="48" t="str">
        <x:v>English</x:v>
      </x:c>
      <x:c r="F9" s="68" t="n">
        <x:v>46300</x:v>
      </x:c>
      <x:c r="G9" s="48" t="n">
        <x:v>150</x:v>
      </x:c>
      <x:c r="H9" s="48" t="n">
        <x:v>18</x:v>
      </x:c>
      <x:c r="I9" s="48"/>
      <x:c r="J9" s="48" t="str">
        <x:v>In Progress</x:v>
      </x:c>
      <x:c r="K9" s="48" t="str">
        <x:v>Support A</x:v>
      </x:c>
      <x:c r="L9" s="48" t="str">
        <x:v>Tier 1</x:v>
      </x:c>
      <x:c r="M9" s="48" t="str">
        <x:f>IF(G9&lt;=IFERROR(VLOOKUP(D9,'SLA Matrix'!$A$5:$C$8,2,FALSE),0),"Within SLA","Breached")</x:f>
        <x:v>Breached</x:v>
      </x:c>
      <x:c r="N9" s="48" t="str">
        <x:f>IF(H9&lt;=IFERROR(VLOOKUP(D9,'SLA Matrix'!$A$5:$C$8,3,FALSE),0),"Within SLA","Breached")</x:f>
        <x:v>Breached</x:v>
      </x:c>
      <x:c r="O9" s="48" t="str">
        <x:v>Fictional sample; no real customer data.</x:v>
      </x:c>
    </x:row>
    <x:row r="10">
      <x:c r="A10" s="48" t="str">
        <x:v>TKT-006</x:v>
      </x:c>
      <x:c r="B10" s="48" t="str">
        <x:v>Chat</x:v>
      </x:c>
      <x:c r="C10" s="48" t="str">
        <x:v>Refund request</x:v>
      </x:c>
      <x:c r="D10" s="48" t="str">
        <x:v>Urgent</x:v>
      </x:c>
      <x:c r="E10" s="48" t="str">
        <x:v>Hindi</x:v>
      </x:c>
      <x:c r="F10" s="68" t="n">
        <x:v>46299</x:v>
      </x:c>
      <x:c r="G10" s="48" t="n">
        <x:v>12</x:v>
      </x:c>
      <x:c r="H10" s="48" t="n">
        <x:v>1.5</x:v>
      </x:c>
      <x:c r="I10" s="48" t="n">
        <x:v>4</x:v>
      </x:c>
      <x:c r="J10" s="48" t="str">
        <x:v>Resolved</x:v>
      </x:c>
      <x:c r="K10" s="48" t="str">
        <x:v>Support B</x:v>
      </x:c>
      <x:c r="L10" s="48" t="str">
        <x:v>Tier 2</x:v>
      </x:c>
      <x:c r="M10" s="48" t="str">
        <x:f>IF(G10&lt;=IFERROR(VLOOKUP(D10,'SLA Matrix'!$A$5:$C$8,2,FALSE),0),"Within SLA","Breached")</x:f>
        <x:v>Within SLA</x:v>
      </x:c>
      <x:c r="N10" s="48" t="str">
        <x:f>IF(H10&lt;=IFERROR(VLOOKUP(D10,'SLA Matrix'!$A$5:$C$8,3,FALSE),0),"Within SLA","Breached")</x:f>
        <x:v>Within SLA</x:v>
      </x:c>
      <x:c r="O10" s="48" t="str">
        <x:v>Fictional sample; no real customer data.</x:v>
      </x:c>
    </x:row>
    <x:row r="11">
      <x:c r="A11" s="48" t="str">
        <x:v>TKT-007</x:v>
      </x:c>
      <x:c r="B11" s="48" t="str">
        <x:v>Email</x:v>
      </x:c>
      <x:c r="C11" s="48" t="str">
        <x:v>Product question</x:v>
      </x:c>
      <x:c r="D11" s="48" t="str">
        <x:v>Low</x:v>
      </x:c>
      <x:c r="E11" s="48" t="str">
        <x:v>English</x:v>
      </x:c>
      <x:c r="F11" s="68" t="n">
        <x:v>46298</x:v>
      </x:c>
      <x:c r="G11" s="48" t="n">
        <x:v>30</x:v>
      </x:c>
      <x:c r="H11" s="48" t="n">
        <x:v>9</x:v>
      </x:c>
      <x:c r="I11" s="48"/>
      <x:c r="J11" s="48" t="str">
        <x:v>New</x:v>
      </x:c>
      <x:c r="K11" s="48" t="str">
        <x:v>Support C</x:v>
      </x:c>
      <x:c r="L11" s="48" t="str">
        <x:v>Tier 1</x:v>
      </x:c>
      <x:c r="M11" s="48" t="str">
        <x:f>IF(G11&lt;=IFERROR(VLOOKUP(D11,'SLA Matrix'!$A$5:$C$8,2,FALSE),0),"Within SLA","Breached")</x:f>
        <x:v>Within SLA</x:v>
      </x:c>
      <x:c r="N11" s="48" t="str">
        <x:f>IF(H11&lt;=IFERROR(VLOOKUP(D11,'SLA Matrix'!$A$5:$C$8,3,FALSE),0),"Within SLA","Breached")</x:f>
        <x:v>Within SLA</x:v>
      </x:c>
      <x:c r="O11" s="48" t="str">
        <x:v>Fictional sample; no real customer data.</x:v>
      </x:c>
    </x:row>
    <x:row r="12">
      <x:c r="A12" s="48" t="str">
        <x:v>TKT-008</x:v>
      </x:c>
      <x:c r="B12" s="48" t="str">
        <x:v>Web form</x:v>
      </x:c>
      <x:c r="C12" s="48" t="str">
        <x:v>Payment issue</x:v>
      </x:c>
      <x:c r="D12" s="48" t="str">
        <x:v>Normal</x:v>
      </x:c>
      <x:c r="E12" s="48" t="str">
        <x:v>Hindi</x:v>
      </x:c>
      <x:c r="F12" s="68" t="n">
        <x:v>46297</x:v>
      </x:c>
      <x:c r="G12" s="48" t="n">
        <x:v>220</x:v>
      </x:c>
      <x:c r="H12" s="48" t="n">
        <x:v>30</x:v>
      </x:c>
      <x:c r="I12" s="48"/>
      <x:c r="J12" s="48" t="str">
        <x:v>Waiting on Customer</x:v>
      </x:c>
      <x:c r="K12" s="48" t="str">
        <x:v>Tier 2</x:v>
      </x:c>
      <x:c r="L12" s="48" t="str">
        <x:v>Tier 1</x:v>
      </x:c>
      <x:c r="M12" s="48" t="str">
        <x:f>IF(G12&lt;=IFERROR(VLOOKUP(D12,'SLA Matrix'!$A$5:$C$8,2,FALSE),0),"Within SLA","Breached")</x:f>
        <x:v>Breached</x:v>
      </x:c>
      <x:c r="N12" s="48" t="str">
        <x:f>IF(H12&lt;=IFERROR(VLOOKUP(D12,'SLA Matrix'!$A$5:$C$8,3,FALSE),0),"Within SLA","Breached")</x:f>
        <x:v>Breached</x:v>
      </x:c>
      <x:c r="O12" s="48" t="str">
        <x:v>Fictional sample; no real customer data.</x:v>
      </x:c>
    </x:row>
    <x:row r="13">
      <x:c r="A13" s="48" t="str">
        <x:v>TKT-009</x:v>
      </x:c>
      <x:c r="B13" s="48" t="str">
        <x:v>Chat</x:v>
      </x:c>
      <x:c r="C13" s="48" t="str">
        <x:v>Delivery delay</x:v>
      </x:c>
      <x:c r="D13" s="48" t="str">
        <x:v>High</x:v>
      </x:c>
      <x:c r="E13" s="48" t="str">
        <x:v>English</x:v>
      </x:c>
      <x:c r="F13" s="68" t="n">
        <x:v>46296</x:v>
      </x:c>
      <x:c r="G13" s="48" t="n">
        <x:v>60</x:v>
      </x:c>
      <x:c r="H13" s="48" t="n">
        <x:v>14</x:v>
      </x:c>
      <x:c r="I13" s="48" t="n">
        <x:v>4</x:v>
      </x:c>
      <x:c r="J13" s="48" t="str">
        <x:v>Closed</x:v>
      </x:c>
      <x:c r="K13" s="48" t="str">
        <x:v>Support A</x:v>
      </x:c>
      <x:c r="L13" s="48" t="str">
        <x:v>Tier 1</x:v>
      </x:c>
      <x:c r="M13" s="48" t="str">
        <x:f>IF(G13&lt;=IFERROR(VLOOKUP(D13,'SLA Matrix'!$A$5:$C$8,2,FALSE),0),"Within SLA","Breached")</x:f>
        <x:v>Breached</x:v>
      </x:c>
      <x:c r="N13" s="48" t="str">
        <x:f>IF(H13&lt;=IFERROR(VLOOKUP(D13,'SLA Matrix'!$A$5:$C$8,3,FALSE),0),"Within SLA","Breached")</x:f>
        <x:v>Breached</x:v>
      </x:c>
      <x:c r="O13" s="48" t="str">
        <x:v>Fictional sample; no real customer data.</x:v>
      </x:c>
    </x:row>
    <x:row r="14">
      <x:c r="A14" s="48" t="str">
        <x:v>TKT-010</x:v>
      </x:c>
      <x:c r="B14" s="48" t="str">
        <x:v>Email</x:v>
      </x:c>
      <x:c r="C14" s="48" t="str">
        <x:v>Order cancellation</x:v>
      </x:c>
      <x:c r="D14" s="48" t="str">
        <x:v>Urgent</x:v>
      </x:c>
      <x:c r="E14" s="48" t="str">
        <x:v>Hindi</x:v>
      </x:c>
      <x:c r="F14" s="68" t="n">
        <x:v>46295</x:v>
      </x:c>
      <x:c r="G14" s="48" t="n">
        <x:v>18</x:v>
      </x:c>
      <x:c r="H14" s="48" t="n">
        <x:v>4</x:v>
      </x:c>
      <x:c r="I14" s="48"/>
      <x:c r="J14" s="48" t="str">
        <x:v>In Progress</x:v>
      </x:c>
      <x:c r="K14" s="48" t="str">
        <x:v>Support B</x:v>
      </x:c>
      <x:c r="L14" s="48" t="str">
        <x:v>Tier 2</x:v>
      </x:c>
      <x:c r="M14" s="48" t="str">
        <x:f>IF(G14&lt;=IFERROR(VLOOKUP(D14,'SLA Matrix'!$A$5:$C$8,2,FALSE),0),"Within SLA","Breached")</x:f>
        <x:v>Breached</x:v>
      </x:c>
      <x:c r="N14" s="48" t="str">
        <x:f>IF(H14&lt;=IFERROR(VLOOKUP(D14,'SLA Matrix'!$A$5:$C$8,3,FALSE),0),"Within SLA","Breached")</x:f>
        <x:v>Within SLA</x:v>
      </x:c>
      <x:c r="O14" s="48" t="str">
        <x:v>Fictional sample; no real customer data.</x:v>
      </x:c>
    </x:row>
    <x:row r="15">
      <x:c r="A15" s="48" t="str">
        <x:v>TKT-011</x:v>
      </x:c>
      <x:c r="B15" s="48" t="str">
        <x:v>Web form</x:v>
      </x:c>
      <x:c r="C15" s="48" t="str">
        <x:v>Damaged item</x:v>
      </x:c>
      <x:c r="D15" s="48" t="str">
        <x:v>Low</x:v>
      </x:c>
      <x:c r="E15" s="48" t="str">
        <x:v>English</x:v>
      </x:c>
      <x:c r="F15" s="68" t="n">
        <x:v>46294</x:v>
      </x:c>
      <x:c r="G15" s="48" t="n">
        <x:v>8</x:v>
      </x:c>
      <x:c r="H15" s="48" t="n">
        <x:v>2.5</x:v>
      </x:c>
      <x:c r="I15" s="48" t="n">
        <x:v>5</x:v>
      </x:c>
      <x:c r="J15" s="48" t="str">
        <x:v>Resolved</x:v>
      </x:c>
      <x:c r="K15" s="48" t="str">
        <x:v>Support C</x:v>
      </x:c>
      <x:c r="L15" s="48" t="str">
        <x:v>Tier 1</x:v>
      </x:c>
      <x:c r="M15" s="48" t="str">
        <x:f>IF(G15&lt;=IFERROR(VLOOKUP(D15,'SLA Matrix'!$A$5:$C$8,2,FALSE),0),"Within SLA","Breached")</x:f>
        <x:v>Within SLA</x:v>
      </x:c>
      <x:c r="N15" s="48" t="str">
        <x:f>IF(H15&lt;=IFERROR(VLOOKUP(D15,'SLA Matrix'!$A$5:$C$8,3,FALSE),0),"Within SLA","Breached")</x:f>
        <x:v>Within SLA</x:v>
      </x:c>
      <x:c r="O15" s="48" t="str">
        <x:v>Fictional sample; no real customer data.</x:v>
      </x:c>
    </x:row>
    <x:row r="16">
      <x:c r="A16" s="48" t="str">
        <x:v>TKT-012</x:v>
      </x:c>
      <x:c r="B16" s="48" t="str">
        <x:v>Chat</x:v>
      </x:c>
      <x:c r="C16" s="48" t="str">
        <x:v>Wrong item</x:v>
      </x:c>
      <x:c r="D16" s="48" t="str">
        <x:v>Normal</x:v>
      </x:c>
      <x:c r="E16" s="48" t="str">
        <x:v>Hindi</x:v>
      </x:c>
      <x:c r="F16" s="68" t="n">
        <x:v>46293</x:v>
      </x:c>
      <x:c r="G16" s="48" t="n">
        <x:v>20</x:v>
      </x:c>
      <x:c r="H16" s="48" t="n">
        <x:v>5</x:v>
      </x:c>
      <x:c r="I16" s="48"/>
      <x:c r="J16" s="48" t="str">
        <x:v>New</x:v>
      </x:c>
      <x:c r="K16" s="48" t="str">
        <x:v>Tier 2</x:v>
      </x:c>
      <x:c r="L16" s="48" t="str">
        <x:v>Tier 1</x:v>
      </x:c>
      <x:c r="M16" s="48" t="str">
        <x:f>IF(G16&lt;=IFERROR(VLOOKUP(D16,'SLA Matrix'!$A$5:$C$8,2,FALSE),0),"Within SLA","Breached")</x:f>
        <x:v>Within SLA</x:v>
      </x:c>
      <x:c r="N16" s="48" t="str">
        <x:f>IF(H16&lt;=IFERROR(VLOOKUP(D16,'SLA Matrix'!$A$5:$C$8,3,FALSE),0),"Within SLA","Breached")</x:f>
        <x:v>Within SLA</x:v>
      </x:c>
      <x:c r="O16" s="48" t="str">
        <x:v>Fictional sample; no real customer data.</x:v>
      </x:c>
    </x:row>
    <x:row r="17">
      <x:c r="A17" s="48" t="str">
        <x:v>TKT-013</x:v>
      </x:c>
      <x:c r="B17" s="48" t="str">
        <x:v>Email</x:v>
      </x:c>
      <x:c r="C17" s="48" t="str">
        <x:v>Account access</x:v>
      </x:c>
      <x:c r="D17" s="48" t="str">
        <x:v>High</x:v>
      </x:c>
      <x:c r="E17" s="48" t="str">
        <x:v>English</x:v>
      </x:c>
      <x:c r="F17" s="68" t="n">
        <x:v>46292</x:v>
      </x:c>
      <x:c r="G17" s="48" t="n">
        <x:v>47</x:v>
      </x:c>
      <x:c r="H17" s="48" t="n">
        <x:v>7</x:v>
      </x:c>
      <x:c r="I17" s="48"/>
      <x:c r="J17" s="48" t="str">
        <x:v>Waiting on Customer</x:v>
      </x:c>
      <x:c r="K17" s="48" t="str">
        <x:v>Support A</x:v>
      </x:c>
      <x:c r="L17" s="48" t="str">
        <x:v>Tier 1</x:v>
      </x:c>
      <x:c r="M17" s="48" t="str">
        <x:f>IF(G17&lt;=IFERROR(VLOOKUP(D17,'SLA Matrix'!$A$5:$C$8,2,FALSE),0),"Within SLA","Breached")</x:f>
        <x:v>Breached</x:v>
      </x:c>
      <x:c r="N17" s="48" t="str">
        <x:f>IF(H17&lt;=IFERROR(VLOOKUP(D17,'SLA Matrix'!$A$5:$C$8,3,FALSE),0),"Within SLA","Breached")</x:f>
        <x:v>Within SLA</x:v>
      </x:c>
      <x:c r="O17" s="48" t="str">
        <x:v>Fictional sample; no real customer data.</x:v>
      </x:c>
    </x:row>
    <x:row r="18">
      <x:c r="A18" s="48" t="str">
        <x:v>TKT-014</x:v>
      </x:c>
      <x:c r="B18" s="48" t="str">
        <x:v>Web form</x:v>
      </x:c>
      <x:c r="C18" s="48" t="str">
        <x:v>Refund request</x:v>
      </x:c>
      <x:c r="D18" s="48" t="str">
        <x:v>Urgent</x:v>
      </x:c>
      <x:c r="E18" s="48" t="str">
        <x:v>Hindi</x:v>
      </x:c>
      <x:c r="F18" s="68" t="n">
        <x:v>46304</x:v>
      </x:c>
      <x:c r="G18" s="48" t="n">
        <x:v>75</x:v>
      </x:c>
      <x:c r="H18" s="48" t="n">
        <x:v>11</x:v>
      </x:c>
      <x:c r="I18" s="48" t="n">
        <x:v>5</x:v>
      </x:c>
      <x:c r="J18" s="48" t="str">
        <x:v>Closed</x:v>
      </x:c>
      <x:c r="K18" s="48" t="str">
        <x:v>Support B</x:v>
      </x:c>
      <x:c r="L18" s="48" t="str">
        <x:v>Tier 2</x:v>
      </x:c>
      <x:c r="M18" s="48" t="str">
        <x:f>IF(G18&lt;=IFERROR(VLOOKUP(D18,'SLA Matrix'!$A$5:$C$8,2,FALSE),0),"Within SLA","Breached")</x:f>
        <x:v>Breached</x:v>
      </x:c>
      <x:c r="N18" s="48" t="str">
        <x:f>IF(H18&lt;=IFERROR(VLOOKUP(D18,'SLA Matrix'!$A$5:$C$8,3,FALSE),0),"Within SLA","Breached")</x:f>
        <x:v>Breached</x:v>
      </x:c>
      <x:c r="O18" s="48" t="str">
        <x:v>Fictional sample; no real customer data.</x:v>
      </x:c>
    </x:row>
    <x:row r="19">
      <x:c r="A19" s="48" t="str">
        <x:v>TKT-015</x:v>
      </x:c>
      <x:c r="B19" s="48" t="str">
        <x:v>Chat</x:v>
      </x:c>
      <x:c r="C19" s="48" t="str">
        <x:v>Product question</x:v>
      </x:c>
      <x:c r="D19" s="48" t="str">
        <x:v>Low</x:v>
      </x:c>
      <x:c r="E19" s="48" t="str">
        <x:v>English</x:v>
      </x:c>
      <x:c r="F19" s="68" t="n">
        <x:v>46303</x:v>
      </x:c>
      <x:c r="G19" s="48" t="n">
        <x:v>150</x:v>
      </x:c>
      <x:c r="H19" s="48" t="n">
        <x:v>18</x:v>
      </x:c>
      <x:c r="I19" s="48"/>
      <x:c r="J19" s="48" t="str">
        <x:v>In Progress</x:v>
      </x:c>
      <x:c r="K19" s="48" t="str">
        <x:v>Support C</x:v>
      </x:c>
      <x:c r="L19" s="48" t="str">
        <x:v>Tier 1</x:v>
      </x:c>
      <x:c r="M19" s="48" t="str">
        <x:f>IF(G19&lt;=IFERROR(VLOOKUP(D19,'SLA Matrix'!$A$5:$C$8,2,FALSE),0),"Within SLA","Breached")</x:f>
        <x:v>Within SLA</x:v>
      </x:c>
      <x:c r="N19" s="48" t="str">
        <x:f>IF(H19&lt;=IFERROR(VLOOKUP(D19,'SLA Matrix'!$A$5:$C$8,3,FALSE),0),"Within SLA","Breached")</x:f>
        <x:v>Within SLA</x:v>
      </x:c>
      <x:c r="O19" s="48" t="str">
        <x:v>Fictional sample; no real customer data.</x:v>
      </x:c>
    </x:row>
    <x:row r="20">
      <x:c r="A20" s="48" t="str">
        <x:v>TKT-016</x:v>
      </x:c>
      <x:c r="B20" s="48" t="str">
        <x:v>Email</x:v>
      </x:c>
      <x:c r="C20" s="48" t="str">
        <x:v>Payment issue</x:v>
      </x:c>
      <x:c r="D20" s="48" t="str">
        <x:v>Normal</x:v>
      </x:c>
      <x:c r="E20" s="48" t="str">
        <x:v>Hindi</x:v>
      </x:c>
      <x:c r="F20" s="68" t="n">
        <x:v>46302</x:v>
      </x:c>
      <x:c r="G20" s="48" t="n">
        <x:v>12</x:v>
      </x:c>
      <x:c r="H20" s="48" t="n">
        <x:v>1.5</x:v>
      </x:c>
      <x:c r="I20" s="48" t="n">
        <x:v>4</x:v>
      </x:c>
      <x:c r="J20" s="48" t="str">
        <x:v>Resolved</x:v>
      </x:c>
      <x:c r="K20" s="48" t="str">
        <x:v>Tier 2</x:v>
      </x:c>
      <x:c r="L20" s="48" t="str">
        <x:v>Tier 2</x:v>
      </x:c>
      <x:c r="M20" s="48" t="str">
        <x:f>IF(G20&lt;=IFERROR(VLOOKUP(D20,'SLA Matrix'!$A$5:$C$8,2,FALSE),0),"Within SLA","Breached")</x:f>
        <x:v>Within SLA</x:v>
      </x:c>
      <x:c r="N20" s="48" t="str">
        <x:f>IF(H20&lt;=IFERROR(VLOOKUP(D20,'SLA Matrix'!$A$5:$C$8,3,FALSE),0),"Within SLA","Breached")</x:f>
        <x:v>Within SLA</x:v>
      </x:c>
      <x:c r="O20" s="48" t="str">
        <x:v>Fictional sample; no real customer data.</x:v>
      </x:c>
    </x:row>
    <x:row r="21">
      <x:c r="A21" s="48" t="str">
        <x:v>TKT-017</x:v>
      </x:c>
      <x:c r="B21" s="48" t="str">
        <x:v>Web form</x:v>
      </x:c>
      <x:c r="C21" s="48" t="str">
        <x:v>Delivery delay</x:v>
      </x:c>
      <x:c r="D21" s="48" t="str">
        <x:v>High</x:v>
      </x:c>
      <x:c r="E21" s="48" t="str">
        <x:v>English</x:v>
      </x:c>
      <x:c r="F21" s="68" t="n">
        <x:v>46301</x:v>
      </x:c>
      <x:c r="G21" s="48" t="n">
        <x:v>30</x:v>
      </x:c>
      <x:c r="H21" s="48" t="n">
        <x:v>9</x:v>
      </x:c>
      <x:c r="I21" s="48"/>
      <x:c r="J21" s="48" t="str">
        <x:v>New</x:v>
      </x:c>
      <x:c r="K21" s="48" t="str">
        <x:v>Support A</x:v>
      </x:c>
      <x:c r="L21" s="48" t="str">
        <x:v>Tier 1</x:v>
      </x:c>
      <x:c r="M21" s="48" t="str">
        <x:f>IF(G21&lt;=IFERROR(VLOOKUP(D21,'SLA Matrix'!$A$5:$C$8,2,FALSE),0),"Within SLA","Breached")</x:f>
        <x:v>Within SLA</x:v>
      </x:c>
      <x:c r="N21" s="48" t="str">
        <x:f>IF(H21&lt;=IFERROR(VLOOKUP(D21,'SLA Matrix'!$A$5:$C$8,3,FALSE),0),"Within SLA","Breached")</x:f>
        <x:v>Breached</x:v>
      </x:c>
      <x:c r="O21" s="48" t="str">
        <x:v>Fictional sample; no real customer data.</x:v>
      </x:c>
    </x:row>
    <x:row r="22">
      <x:c r="A22" s="48" t="str">
        <x:v>TKT-018</x:v>
      </x:c>
      <x:c r="B22" s="48" t="str">
        <x:v>Chat</x:v>
      </x:c>
      <x:c r="C22" s="48" t="str">
        <x:v>Order cancellation</x:v>
      </x:c>
      <x:c r="D22" s="48" t="str">
        <x:v>Urgent</x:v>
      </x:c>
      <x:c r="E22" s="48" t="str">
        <x:v>Hindi</x:v>
      </x:c>
      <x:c r="F22" s="68" t="n">
        <x:v>46300</x:v>
      </x:c>
      <x:c r="G22" s="48" t="n">
        <x:v>220</x:v>
      </x:c>
      <x:c r="H22" s="48" t="n">
        <x:v>30</x:v>
      </x:c>
      <x:c r="I22" s="48"/>
      <x:c r="J22" s="48" t="str">
        <x:v>Waiting on Customer</x:v>
      </x:c>
      <x:c r="K22" s="48" t="str">
        <x:v>Support B</x:v>
      </x:c>
      <x:c r="L22" s="48" t="str">
        <x:v>Tier 2</x:v>
      </x:c>
      <x:c r="M22" s="48" t="str">
        <x:f>IF(G22&lt;=IFERROR(VLOOKUP(D22,'SLA Matrix'!$A$5:$C$8,2,FALSE),0),"Within SLA","Breached")</x:f>
        <x:v>Breached</x:v>
      </x:c>
      <x:c r="N22" s="48" t="str">
        <x:f>IF(H22&lt;=IFERROR(VLOOKUP(D22,'SLA Matrix'!$A$5:$C$8,3,FALSE),0),"Within SLA","Breached")</x:f>
        <x:v>Breached</x:v>
      </x:c>
      <x:c r="O22" s="48" t="str">
        <x:v>Fictional sample; no real customer data.</x:v>
      </x:c>
    </x:row>
    <x:row r="23">
      <x:c r="A23" s="48" t="str">
        <x:v>TKT-019</x:v>
      </x:c>
      <x:c r="B23" s="48" t="str">
        <x:v>Email</x:v>
      </x:c>
      <x:c r="C23" s="48" t="str">
        <x:v>Damaged item</x:v>
      </x:c>
      <x:c r="D23" s="48" t="str">
        <x:v>Low</x:v>
      </x:c>
      <x:c r="E23" s="48" t="str">
        <x:v>English</x:v>
      </x:c>
      <x:c r="F23" s="68" t="n">
        <x:v>46299</x:v>
      </x:c>
      <x:c r="G23" s="48" t="n">
        <x:v>60</x:v>
      </x:c>
      <x:c r="H23" s="48" t="n">
        <x:v>14</x:v>
      </x:c>
      <x:c r="I23" s="48" t="n">
        <x:v>4</x:v>
      </x:c>
      <x:c r="J23" s="48" t="str">
        <x:v>Closed</x:v>
      </x:c>
      <x:c r="K23" s="48" t="str">
        <x:v>Support C</x:v>
      </x:c>
      <x:c r="L23" s="48" t="str">
        <x:v>Tier 2</x:v>
      </x:c>
      <x:c r="M23" s="48" t="str">
        <x:f>IF(G23&lt;=IFERROR(VLOOKUP(D23,'SLA Matrix'!$A$5:$C$8,2,FALSE),0),"Within SLA","Breached")</x:f>
        <x:v>Within SLA</x:v>
      </x:c>
      <x:c r="N23" s="48" t="str">
        <x:f>IF(H23&lt;=IFERROR(VLOOKUP(D23,'SLA Matrix'!$A$5:$C$8,3,FALSE),0),"Within SLA","Breached")</x:f>
        <x:v>Within SLA</x:v>
      </x:c>
      <x:c r="O23" s="48" t="str">
        <x:v>Fictional sample; no real customer data.</x:v>
      </x:c>
    </x:row>
    <x:row r="24">
      <x:c r="A24" s="48" t="str">
        <x:v>TKT-020</x:v>
      </x:c>
      <x:c r="B24" s="48" t="str">
        <x:v>Web form</x:v>
      </x:c>
      <x:c r="C24" s="48" t="str">
        <x:v>Wrong item</x:v>
      </x:c>
      <x:c r="D24" s="48" t="str">
        <x:v>Normal</x:v>
      </x:c>
      <x:c r="E24" s="48" t="str">
        <x:v>Hindi</x:v>
      </x:c>
      <x:c r="F24" s="68" t="n">
        <x:v>46298</x:v>
      </x:c>
      <x:c r="G24" s="48" t="n">
        <x:v>18</x:v>
      </x:c>
      <x:c r="H24" s="48" t="n">
        <x:v>4</x:v>
      </x:c>
      <x:c r="I24" s="48"/>
      <x:c r="J24" s="48" t="str">
        <x:v>In Progress</x:v>
      </x:c>
      <x:c r="K24" s="48" t="str">
        <x:v>Tier 2</x:v>
      </x:c>
      <x:c r="L24" s="48" t="str">
        <x:v>Tier 1</x:v>
      </x:c>
      <x:c r="M24" s="48" t="str">
        <x:f>IF(G24&lt;=IFERROR(VLOOKUP(D24,'SLA Matrix'!$A$5:$C$8,2,FALSE),0),"Within SLA","Breached")</x:f>
        <x:v>Within SLA</x:v>
      </x:c>
      <x:c r="N24" s="48" t="str">
        <x:f>IF(H24&lt;=IFERROR(VLOOKUP(D24,'SLA Matrix'!$A$5:$C$8,3,FALSE),0),"Within SLA","Breached")</x:f>
        <x:v>Within SLA</x:v>
      </x:c>
      <x:c r="O24" s="48" t="str">
        <x:v>Fictional sample; no real customer data.</x:v>
      </x:c>
    </x:row>
    <x:row r="25">
      <x:c r="A25" s="48" t="str">
        <x:v>TKT-021</x:v>
      </x:c>
      <x:c r="B25" s="48" t="str">
        <x:v>Chat</x:v>
      </x:c>
      <x:c r="C25" s="48" t="str">
        <x:v>Account access</x:v>
      </x:c>
      <x:c r="D25" s="48" t="str">
        <x:v>High</x:v>
      </x:c>
      <x:c r="E25" s="48" t="str">
        <x:v>English</x:v>
      </x:c>
      <x:c r="F25" s="68" t="n">
        <x:v>46297</x:v>
      </x:c>
      <x:c r="G25" s="48" t="n">
        <x:v>8</x:v>
      </x:c>
      <x:c r="H25" s="48" t="n">
        <x:v>2.5</x:v>
      </x:c>
      <x:c r="I25" s="48" t="n">
        <x:v>5</x:v>
      </x:c>
      <x:c r="J25" s="48" t="str">
        <x:v>Resolved</x:v>
      </x:c>
      <x:c r="K25" s="48" t="str">
        <x:v>Support A</x:v>
      </x:c>
      <x:c r="L25" s="48" t="str">
        <x:v>Tier 1</x:v>
      </x:c>
      <x:c r="M25" s="48" t="str">
        <x:f>IF(G25&lt;=IFERROR(VLOOKUP(D25,'SLA Matrix'!$A$5:$C$8,2,FALSE),0),"Within SLA","Breached")</x:f>
        <x:v>Within SLA</x:v>
      </x:c>
      <x:c r="N25" s="48" t="str">
        <x:f>IF(H25&lt;=IFERROR(VLOOKUP(D25,'SLA Matrix'!$A$5:$C$8,3,FALSE),0),"Within SLA","Breached")</x:f>
        <x:v>Within SLA</x:v>
      </x:c>
      <x:c r="O25" s="48" t="str">
        <x:v>Fictional sample; no real customer data.</x:v>
      </x:c>
    </x:row>
    <x:row r="26">
      <x:c r="A26" s="48" t="str">
        <x:v>TKT-022</x:v>
      </x:c>
      <x:c r="B26" s="48" t="str">
        <x:v>Email</x:v>
      </x:c>
      <x:c r="C26" s="48" t="str">
        <x:v>Refund request</x:v>
      </x:c>
      <x:c r="D26" s="48" t="str">
        <x:v>Urgent</x:v>
      </x:c>
      <x:c r="E26" s="48" t="str">
        <x:v>Hindi</x:v>
      </x:c>
      <x:c r="F26" s="68" t="n">
        <x:v>46296</x:v>
      </x:c>
      <x:c r="G26" s="48" t="n">
        <x:v>20</x:v>
      </x:c>
      <x:c r="H26" s="48" t="n">
        <x:v>5</x:v>
      </x:c>
      <x:c r="I26" s="48"/>
      <x:c r="J26" s="48" t="str">
        <x:v>New</x:v>
      </x:c>
      <x:c r="K26" s="48" t="str">
        <x:v>Support B</x:v>
      </x:c>
      <x:c r="L26" s="48" t="str">
        <x:v>Tier 2</x:v>
      </x:c>
      <x:c r="M26" s="48" t="str">
        <x:f>IF(G26&lt;=IFERROR(VLOOKUP(D26,'SLA Matrix'!$A$5:$C$8,2,FALSE),0),"Within SLA","Breached")</x:f>
        <x:v>Breached</x:v>
      </x:c>
      <x:c r="N26" s="48" t="str">
        <x:f>IF(H26&lt;=IFERROR(VLOOKUP(D26,'SLA Matrix'!$A$5:$C$8,3,FALSE),0),"Within SLA","Breached")</x:f>
        <x:v>Breached</x:v>
      </x:c>
      <x:c r="O26" s="48" t="str">
        <x:v>Fictional sample; no real customer data.</x:v>
      </x:c>
    </x:row>
    <x:row r="27">
      <x:c r="A27" s="48" t="str">
        <x:v>TKT-023</x:v>
      </x:c>
      <x:c r="B27" s="48" t="str">
        <x:v>Web form</x:v>
      </x:c>
      <x:c r="C27" s="48" t="str">
        <x:v>Product question</x:v>
      </x:c>
      <x:c r="D27" s="48" t="str">
        <x:v>Low</x:v>
      </x:c>
      <x:c r="E27" s="48" t="str">
        <x:v>English</x:v>
      </x:c>
      <x:c r="F27" s="68" t="n">
        <x:v>46295</x:v>
      </x:c>
      <x:c r="G27" s="48" t="n">
        <x:v>47</x:v>
      </x:c>
      <x:c r="H27" s="48" t="n">
        <x:v>7</x:v>
      </x:c>
      <x:c r="I27" s="48"/>
      <x:c r="J27" s="48" t="str">
        <x:v>Waiting on Customer</x:v>
      </x:c>
      <x:c r="K27" s="48" t="str">
        <x:v>Support C</x:v>
      </x:c>
      <x:c r="L27" s="48" t="str">
        <x:v>Tier 1</x:v>
      </x:c>
      <x:c r="M27" s="48" t="str">
        <x:f>IF(G27&lt;=IFERROR(VLOOKUP(D27,'SLA Matrix'!$A$5:$C$8,2,FALSE),0),"Within SLA","Breached")</x:f>
        <x:v>Within SLA</x:v>
      </x:c>
      <x:c r="N27" s="48" t="str">
        <x:f>IF(H27&lt;=IFERROR(VLOOKUP(D27,'SLA Matrix'!$A$5:$C$8,3,FALSE),0),"Within SLA","Breached")</x:f>
        <x:v>Within SLA</x:v>
      </x:c>
      <x:c r="O27" s="48" t="str">
        <x:v>Fictional sample; no real customer data.</x:v>
      </x:c>
    </x:row>
    <x:row r="28">
      <x:c r="A28" s="48" t="str">
        <x:v>TKT-024</x:v>
      </x:c>
      <x:c r="B28" s="48" t="str">
        <x:v>Chat</x:v>
      </x:c>
      <x:c r="C28" s="48" t="str">
        <x:v>Payment issue</x:v>
      </x:c>
      <x:c r="D28" s="48" t="str">
        <x:v>Normal</x:v>
      </x:c>
      <x:c r="E28" s="48" t="str">
        <x:v>Hindi</x:v>
      </x:c>
      <x:c r="F28" s="68" t="n">
        <x:v>46294</x:v>
      </x:c>
      <x:c r="G28" s="48" t="n">
        <x:v>75</x:v>
      </x:c>
      <x:c r="H28" s="48" t="n">
        <x:v>11</x:v>
      </x:c>
      <x:c r="I28" s="48" t="n">
        <x:v>5</x:v>
      </x:c>
      <x:c r="J28" s="48" t="str">
        <x:v>Closed</x:v>
      </x:c>
      <x:c r="K28" s="48" t="str">
        <x:v>Tier 2</x:v>
      </x:c>
      <x:c r="L28" s="48" t="str">
        <x:v>Tier 1</x:v>
      </x:c>
      <x:c r="M28" s="48" t="str">
        <x:f>IF(G28&lt;=IFERROR(VLOOKUP(D28,'SLA Matrix'!$A$5:$C$8,2,FALSE),0),"Within SLA","Breached")</x:f>
        <x:v>Within SLA</x:v>
      </x:c>
      <x:c r="N28" s="48" t="str">
        <x:f>IF(H28&lt;=IFERROR(VLOOKUP(D28,'SLA Matrix'!$A$5:$C$8,3,FALSE),0),"Within SLA","Breached")</x:f>
        <x:v>Within SLA</x:v>
      </x:c>
      <x:c r="O28" s="48" t="str">
        <x:v>Fictional sample; no real customer data.</x:v>
      </x:c>
    </x:row>
    <x:row r="29">
      <x:c r="A29" s="48" t="str">
        <x:v>TKT-025</x:v>
      </x:c>
      <x:c r="B29" s="48" t="str">
        <x:v>Email</x:v>
      </x:c>
      <x:c r="C29" s="48" t="str">
        <x:v>Delivery delay</x:v>
      </x:c>
      <x:c r="D29" s="48" t="str">
        <x:v>High</x:v>
      </x:c>
      <x:c r="E29" s="48" t="str">
        <x:v>English</x:v>
      </x:c>
      <x:c r="F29" s="68" t="n">
        <x:v>46293</x:v>
      </x:c>
      <x:c r="G29" s="48" t="n">
        <x:v>150</x:v>
      </x:c>
      <x:c r="H29" s="48" t="n">
        <x:v>18</x:v>
      </x:c>
      <x:c r="I29" s="48"/>
      <x:c r="J29" s="48" t="str">
        <x:v>In Progress</x:v>
      </x:c>
      <x:c r="K29" s="48" t="str">
        <x:v>Support A</x:v>
      </x:c>
      <x:c r="L29" s="48" t="str">
        <x:v>Tier 1</x:v>
      </x:c>
      <x:c r="M29" s="48" t="str">
        <x:f>IF(G29&lt;=IFERROR(VLOOKUP(D29,'SLA Matrix'!$A$5:$C$8,2,FALSE),0),"Within SLA","Breached")</x:f>
        <x:v>Breached</x:v>
      </x:c>
      <x:c r="N29" s="48" t="str">
        <x:f>IF(H29&lt;=IFERROR(VLOOKUP(D29,'SLA Matrix'!$A$5:$C$8,3,FALSE),0),"Within SLA","Breached")</x:f>
        <x:v>Breached</x:v>
      </x:c>
      <x:c r="O29" s="48" t="str">
        <x:v>Fictional sample; no real customer data.</x:v>
      </x:c>
    </x:row>
    <x:row r="30">
      <x:c r="A30" s="48" t="str">
        <x:v>TKT-026</x:v>
      </x:c>
      <x:c r="B30" s="48" t="str">
        <x:v>Web form</x:v>
      </x:c>
      <x:c r="C30" s="48" t="str">
        <x:v>Order cancellation</x:v>
      </x:c>
      <x:c r="D30" s="48" t="str">
        <x:v>Urgent</x:v>
      </x:c>
      <x:c r="E30" s="48" t="str">
        <x:v>Hindi</x:v>
      </x:c>
      <x:c r="F30" s="68" t="n">
        <x:v>46292</x:v>
      </x:c>
      <x:c r="G30" s="48" t="n">
        <x:v>12</x:v>
      </x:c>
      <x:c r="H30" s="48" t="n">
        <x:v>1.5</x:v>
      </x:c>
      <x:c r="I30" s="48" t="n">
        <x:v>4</x:v>
      </x:c>
      <x:c r="J30" s="48" t="str">
        <x:v>Resolved</x:v>
      </x:c>
      <x:c r="K30" s="48" t="str">
        <x:v>Support B</x:v>
      </x:c>
      <x:c r="L30" s="48" t="str">
        <x:v>Tier 2</x:v>
      </x:c>
      <x:c r="M30" s="48" t="str">
        <x:f>IF(G30&lt;=IFERROR(VLOOKUP(D30,'SLA Matrix'!$A$5:$C$8,2,FALSE),0),"Within SLA","Breached")</x:f>
        <x:v>Within SLA</x:v>
      </x:c>
      <x:c r="N30" s="48" t="str">
        <x:f>IF(H30&lt;=IFERROR(VLOOKUP(D30,'SLA Matrix'!$A$5:$C$8,3,FALSE),0),"Within SLA","Breached")</x:f>
        <x:v>Within SLA</x:v>
      </x:c>
      <x:c r="O30" s="48" t="str">
        <x:v>Fictional sample; no real customer data.</x:v>
      </x:c>
    </x:row>
    <x:row r="31">
      <x:c r="A31" s="48" t="str">
        <x:v>TKT-027</x:v>
      </x:c>
      <x:c r="B31" s="48" t="str">
        <x:v>Chat</x:v>
      </x:c>
      <x:c r="C31" s="48" t="str">
        <x:v>Damaged item</x:v>
      </x:c>
      <x:c r="D31" s="48" t="str">
        <x:v>Low</x:v>
      </x:c>
      <x:c r="E31" s="48" t="str">
        <x:v>English</x:v>
      </x:c>
      <x:c r="F31" s="68" t="n">
        <x:v>46304</x:v>
      </x:c>
      <x:c r="G31" s="48" t="n">
        <x:v>30</x:v>
      </x:c>
      <x:c r="H31" s="48" t="n">
        <x:v>9</x:v>
      </x:c>
      <x:c r="I31" s="48"/>
      <x:c r="J31" s="48" t="str">
        <x:v>New</x:v>
      </x:c>
      <x:c r="K31" s="48" t="str">
        <x:v>Support C</x:v>
      </x:c>
      <x:c r="L31" s="48" t="str">
        <x:v>Tier 1</x:v>
      </x:c>
      <x:c r="M31" s="48" t="str">
        <x:f>IF(G31&lt;=IFERROR(VLOOKUP(D31,'SLA Matrix'!$A$5:$C$8,2,FALSE),0),"Within SLA","Breached")</x:f>
        <x:v>Within SLA</x:v>
      </x:c>
      <x:c r="N31" s="48" t="str">
        <x:f>IF(H31&lt;=IFERROR(VLOOKUP(D31,'SLA Matrix'!$A$5:$C$8,3,FALSE),0),"Within SLA","Breached")</x:f>
        <x:v>Within SLA</x:v>
      </x:c>
      <x:c r="O31" s="48" t="str">
        <x:v>Fictional sample; no real customer data.</x:v>
      </x:c>
    </x:row>
    <x:row r="32">
      <x:c r="A32" s="48" t="str">
        <x:v>TKT-028</x:v>
      </x:c>
      <x:c r="B32" s="48" t="str">
        <x:v>Email</x:v>
      </x:c>
      <x:c r="C32" s="48" t="str">
        <x:v>Wrong item</x:v>
      </x:c>
      <x:c r="D32" s="48" t="str">
        <x:v>Normal</x:v>
      </x:c>
      <x:c r="E32" s="48" t="str">
        <x:v>Hindi</x:v>
      </x:c>
      <x:c r="F32" s="68" t="n">
        <x:v>46303</x:v>
      </x:c>
      <x:c r="G32" s="48" t="n">
        <x:v>220</x:v>
      </x:c>
      <x:c r="H32" s="48" t="n">
        <x:v>30</x:v>
      </x:c>
      <x:c r="I32" s="48"/>
      <x:c r="J32" s="48" t="str">
        <x:v>Waiting on Customer</x:v>
      </x:c>
      <x:c r="K32" s="48" t="str">
        <x:v>Tier 2</x:v>
      </x:c>
      <x:c r="L32" s="48" t="str">
        <x:v>Tier 1</x:v>
      </x:c>
      <x:c r="M32" s="48" t="str">
        <x:f>IF(G32&lt;=IFERROR(VLOOKUP(D32,'SLA Matrix'!$A$5:$C$8,2,FALSE),0),"Within SLA","Breached")</x:f>
        <x:v>Breached</x:v>
      </x:c>
      <x:c r="N32" s="48" t="str">
        <x:f>IF(H32&lt;=IFERROR(VLOOKUP(D32,'SLA Matrix'!$A$5:$C$8,3,FALSE),0),"Within SLA","Breached")</x:f>
        <x:v>Breached</x:v>
      </x:c>
      <x:c r="O32" s="48" t="str">
        <x:v>Fictional sample; no real customer data.</x:v>
      </x:c>
    </x:row>
    <x:row r="33">
      <x:c r="A33" s="48" t="str">
        <x:v>TKT-029</x:v>
      </x:c>
      <x:c r="B33" s="48" t="str">
        <x:v>Web form</x:v>
      </x:c>
      <x:c r="C33" s="48" t="str">
        <x:v>Account access</x:v>
      </x:c>
      <x:c r="D33" s="48" t="str">
        <x:v>High</x:v>
      </x:c>
      <x:c r="E33" s="48" t="str">
        <x:v>English</x:v>
      </x:c>
      <x:c r="F33" s="68" t="n">
        <x:v>46302</x:v>
      </x:c>
      <x:c r="G33" s="48" t="n">
        <x:v>60</x:v>
      </x:c>
      <x:c r="H33" s="48" t="n">
        <x:v>14</x:v>
      </x:c>
      <x:c r="I33" s="48" t="n">
        <x:v>4</x:v>
      </x:c>
      <x:c r="J33" s="48" t="str">
        <x:v>Closed</x:v>
      </x:c>
      <x:c r="K33" s="48" t="str">
        <x:v>Support A</x:v>
      </x:c>
      <x:c r="L33" s="48" t="str">
        <x:v>Tier 1</x:v>
      </x:c>
      <x:c r="M33" s="48" t="str">
        <x:f>IF(G33&lt;=IFERROR(VLOOKUP(D33,'SLA Matrix'!$A$5:$C$8,2,FALSE),0),"Within SLA","Breached")</x:f>
        <x:v>Breached</x:v>
      </x:c>
      <x:c r="N33" s="48" t="str">
        <x:f>IF(H33&lt;=IFERROR(VLOOKUP(D33,'SLA Matrix'!$A$5:$C$8,3,FALSE),0),"Within SLA","Breached")</x:f>
        <x:v>Breached</x:v>
      </x:c>
      <x:c r="O33" s="48" t="str">
        <x:v>Fictional sample; no real customer data.</x:v>
      </x:c>
    </x:row>
    <x:row r="34">
      <x:c r="A34" s="48" t="str">
        <x:v>TKT-030</x:v>
      </x:c>
      <x:c r="B34" s="48" t="str">
        <x:v>Chat</x:v>
      </x:c>
      <x:c r="C34" s="48" t="str">
        <x:v>Refund request</x:v>
      </x:c>
      <x:c r="D34" s="48" t="str">
        <x:v>Urgent</x:v>
      </x:c>
      <x:c r="E34" s="48" t="str">
        <x:v>Hindi</x:v>
      </x:c>
      <x:c r="F34" s="68" t="n">
        <x:v>46301</x:v>
      </x:c>
      <x:c r="G34" s="48" t="n">
        <x:v>18</x:v>
      </x:c>
      <x:c r="H34" s="48" t="n">
        <x:v>4</x:v>
      </x:c>
      <x:c r="I34" s="48"/>
      <x:c r="J34" s="48" t="str">
        <x:v>In Progress</x:v>
      </x:c>
      <x:c r="K34" s="48" t="str">
        <x:v>Support B</x:v>
      </x:c>
      <x:c r="L34" s="48" t="str">
        <x:v>Tier 2</x:v>
      </x:c>
      <x:c r="M34" s="48" t="str">
        <x:f>IF(G34&lt;=IFERROR(VLOOKUP(D34,'SLA Matrix'!$A$5:$C$8,2,FALSE),0),"Within SLA","Breached")</x:f>
        <x:v>Breached</x:v>
      </x:c>
      <x:c r="N34" s="48" t="str">
        <x:f>IF(H34&lt;=IFERROR(VLOOKUP(D34,'SLA Matrix'!$A$5:$C$8,3,FALSE),0),"Within SLA","Breached")</x:f>
        <x:v>Within SLA</x:v>
      </x:c>
      <x:c r="O34" s="48" t="str">
        <x:v>Fictional sample; no real customer data.</x:v>
      </x:c>
    </x:row>
  </x:sheetData>
  <x:mergeCells>
    <x:mergeCell ref="A1:O1"/>
    <x:mergeCell ref="A2:O2"/>
  </x:mergeCells>
  <x:conditionalFormatting sqref="M5:M34">
    <x:cfRule type="expression" dxfId="0" priority="1">
      <x:formula>M5="Breached"</x:formula>
    </x:cfRule>
  </x:conditionalFormatting>
  <x:conditionalFormatting sqref="N5:N34">
    <x:cfRule type="expression" dxfId="1" priority="2">
      <x:formula>N5="Breached"</x:formula>
    </x:cfRule>
  </x:conditionalFormatting>
  <x:dataValidations count="4">
    <x:dataValidation type="list" sqref="B5:B34">
      <x:formula1>"Email,Chat,Web form"</x:formula1>
    </x:dataValidation>
    <x:dataValidation type="list" sqref="C5:C34">
      <x:formula1>"Delivery delay,Refund request,Damaged item,Payment issue,Account access,Order cancellation,Product question,Wrong item"</x:formula1>
    </x:dataValidation>
    <x:dataValidation type="list" sqref="D5:D34">
      <x:formula1>"Urgent,High,Normal,Low"</x:formula1>
    </x:dataValidation>
    <x:dataValidation type="list" sqref="J5:J34">
      <x:formula1>"New,In Progress,Waiting on Customer,Resolved,Closed"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33f4ff81ef43dd"/>
  </x:tableParts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23" hidden="0" customWidth="1"/>
    <x:col min="3" max="3" width="75" hidden="0" customWidth="1"/>
    <x:col min="4" max="4" width="75" hidden="0" customWidth="1"/>
    <x:col min="5" max="5" width="42" hidden="0" customWidth="1"/>
  </x:cols>
  <x:sheetData>
    <x:row r="1" ht="32" customHeight="1">
      <x:c r="A1" s="5" t="str">
        <x:v>BILINGUAL CUSTOMER REPLY TEMPLATES</x:v>
      </x:c>
      <x:c r="B1" s="5"/>
      <x:c r="C1" s="5"/>
      <x:c r="D1" s="5"/>
      <x:c r="E1" s="5"/>
    </x:row>
    <x:row r="2" ht="25" customHeight="1">
      <x:c r="A2" s="14" t="str">
        <x:v>30 editable templates in English and Hindi; personalise order/status details and follow the real policy.</x:v>
      </x:c>
      <x:c r="B2" s="14"/>
      <x:c r="C2" s="14"/>
      <x:c r="D2" s="14"/>
      <x:c r="E2" s="14"/>
    </x:row>
    <x:row r="4" ht="30" customHeight="1">
      <x:c r="A4" s="41" t="str">
        <x:v>ID</x:v>
      </x:c>
      <x:c r="B4" s="41" t="str">
        <x:v>Scenario</x:v>
      </x:c>
      <x:c r="C4" s="41" t="str">
        <x:v>English Template</x:v>
      </x:c>
      <x:c r="D4" s="41" t="str">
        <x:v>Hindi Template</x:v>
      </x:c>
      <x:c r="E4" s="41" t="str">
        <x:v>Use / Check Before Sending</x:v>
      </x:c>
    </x:row>
    <x:row r="5">
      <x:c r="A5" s="48" t="str">
        <x:v>TPL-01</x:v>
      </x:c>
      <x:c r="B5" s="48" t="str">
        <x:v>Delivery delay</x:v>
      </x:c>
      <x:c r="C5" s="48" t="str">
        <x:v>We’re sorry your order is taking longer than expected. We’re checking the latest tracking update and will share the next update by [time].</x:v>
      </x:c>
      <x:c r="D5" s="48" t="str">
        <x:v>आपके ऑर्डर में देरी के लिए हमें खेद है। हम नवीनतम ट्रैकिंग जानकारी जाँच रहे हैं और [समय] तक अगला अपडेट साझा करेंगे।</x:v>
      </x:c>
      <x:c r="E5" s="48" t="str">
        <x:v>Confirm tracking and realistic update time.</x:v>
      </x:c>
    </x:row>
    <x:row r="6">
      <x:c r="A6" s="48" t="str">
        <x:v>TPL-02</x:v>
      </x:c>
      <x:c r="B6" s="48" t="str">
        <x:v>Delivery delay</x:v>
      </x:c>
      <x:c r="C6" s="48" t="str">
        <x:v>Thank you for your patience. The current tracking status is [status]. We’ll let you know if the estimated delivery date changes.</x:v>
      </x:c>
      <x:c r="D6" s="48" t="str">
        <x:v>धैर्य रखने के लिए धन्यवाद। अभी ट्रैकिंग स्थिति [स्थिति] है। अनुमानित डिलीवरी तारीख बदलने पर हम आपको बताएँगे।</x:v>
      </x:c>
      <x:c r="E6" s="48" t="str">
        <x:v>Never promise a date not shown by the carrier.</x:v>
      </x:c>
    </x:row>
    <x:row r="7">
      <x:c r="A7" s="48" t="str">
        <x:v>TPL-03</x:v>
      </x:c>
      <x:c r="B7" s="48" t="str">
        <x:v>Delivery delay</x:v>
      </x:c>
      <x:c r="C7" s="48" t="str">
        <x:v>I understand this order is time-sensitive. I’ve flagged the delay for review and will update you by [time].</x:v>
      </x:c>
      <x:c r="D7" s="48" t="str">
        <x:v>मैं समझता/समझती हूँ कि यह ऑर्डर समय-संवेदनशील है। मैंने देरी की समीक्षा के लिए इसे चिह्नित किया है और [समय] तक अपडेट दूँगा/दूँगी।</x:v>
      </x:c>
      <x:c r="E7" s="48" t="str">
        <x:v>Flag only if that process exists.</x:v>
      </x:c>
    </x:row>
    <x:row r="8">
      <x:c r="A8" s="48" t="str">
        <x:v>TPL-04</x:v>
      </x:c>
      <x:c r="B8" s="48" t="str">
        <x:v>Delivery delay</x:v>
      </x:c>
      <x:c r="C8" s="48" t="str">
        <x:v>The parcel is currently marked [status]. May I confirm the delivery address and contact availability to help us investigate?</x:v>
      </x:c>
      <x:c r="D8" s="48" t="str">
        <x:v>पार्सल की स्थिति अभी [स्थिति] दिखाई जा रही है। जाँच में सहायता के लिए क्या मैं डिलीवरी पता और संपर्क उपलब्धता की पुष्टि कर सकता/सकती हूँ?</x:v>
      </x:c>
      <x:c r="E8" s="48" t="str">
        <x:v>Verify identity before sharing order details.</x:v>
      </x:c>
    </x:row>
    <x:row r="9">
      <x:c r="A9" s="48" t="str">
        <x:v>TPL-05</x:v>
      </x:c>
      <x:c r="B9" s="48" t="str">
        <x:v>Delivery delay</x:v>
      </x:c>
      <x:c r="C9" s="48" t="str">
        <x:v>I’m sorry the previous estimate was missed. I won’t guess a new date; I’m checking with the delivery team and will return with confirmed information.</x:v>
      </x:c>
      <x:c r="D9" s="48" t="str">
        <x:v>पिछला अनुमान पूरा न होने के लिए खेद है। मैं नई तारीख का अनुमान नहीं लगाऊँगा/लगाऊँगी; डिलीवरी टीम से पुष्टि करके जानकारी दूँगा/दूँगी।</x:v>
      </x:c>
      <x:c r="E9" s="48" t="str">
        <x:v>Avoid speculative ETAs.</x:v>
      </x:c>
    </x:row>
    <x:row r="10">
      <x:c r="A10" s="48" t="str">
        <x:v>TPL-06</x:v>
      </x:c>
      <x:c r="B10" s="48" t="str">
        <x:v>Refund</x:v>
      </x:c>
      <x:c r="C10" s="48" t="str">
        <x:v>I can help check the refund status. Please share the order/reference ID through our approved secure channel; don’t send card details or passwords.</x:v>
      </x:c>
      <x:c r="D10" s="48" t="str">
        <x:v>मैं रिफंड की स्थिति जाँचने में मदद कर सकता/सकती हूँ। कृपया सुरक्षित आधिकारिक माध्यम से ऑर्डर/रेफरेंस ID साझा करें; कार्ड विवरण या पासवर्ड न भेजें।</x:v>
      </x:c>
      <x:c r="E10" s="48" t="str">
        <x:v>Use secure channel; never request passwords.</x:v>
      </x:c>
    </x:row>
    <x:row r="11">
      <x:c r="A11" s="48" t="str">
        <x:v>TPL-07</x:v>
      </x:c>
      <x:c r="B11" s="48" t="str">
        <x:v>Refund</x:v>
      </x:c>
      <x:c r="C11" s="48" t="str">
        <x:v>The refund request is recorded under reference [ID]. The expected processing window is [approved window], subject to the payment provider.</x:v>
      </x:c>
      <x:c r="D11" s="48" t="str">
        <x:v>रिफंड अनुरोध [ID] के तहत दर्ज है। भुगतान प्रदाता के अनुसार अपेक्षित प्रक्रिया समय [स्वीकृत अवधि] है।</x:v>
      </x:c>
      <x:c r="E11" s="48" t="str">
        <x:v>Only quote approved policy.</x:v>
      </x:c>
    </x:row>
    <x:row r="12">
      <x:c r="A12" s="48" t="str">
        <x:v>TPL-08</x:v>
      </x:c>
      <x:c r="B12" s="48" t="str">
        <x:v>Refund</x:v>
      </x:c>
      <x:c r="C12" s="48" t="str">
        <x:v>I understand you expected the amount sooner. I’ll check whether the refund has been initiated and share the reference available to us.</x:v>
      </x:c>
      <x:c r="D12" s="48" t="str">
        <x:v>मैं समझता/समझती हूँ कि आप राशि जल्दी आने की उम्मीद कर रहे थे। मैं जाँच करूँगा/करूँगी कि रिफंड शुरू हुआ है या नहीं और उपलब्ध रेफरेंस साझा करूँगा/करूँगी।</x:v>
      </x:c>
      <x:c r="E12" s="48" t="str">
        <x:v>Do not claim initiated until checked.</x:v>
      </x:c>
    </x:row>
    <x:row r="13">
      <x:c r="A13" s="48" t="str">
        <x:v>TPL-09</x:v>
      </x:c>
      <x:c r="B13" s="48" t="str">
        <x:v>Refund</x:v>
      </x:c>
      <x:c r="C13" s="48" t="str">
        <x:v>Your refund appears to be [status] in our system. If the bank timeline has passed, I can route this for a payment-status review.</x:v>
      </x:c>
      <x:c r="D13" s="48" t="str">
        <x:v>हमारे सिस्टम में आपका रिफंड [स्थिति] है। यदि बैंक की समय-सीमा बीत गई है, तो मैं इसे भुगतान-स्थिति समीक्षा के लिए भेज सकता/सकती हूँ।</x:v>
      </x:c>
      <x:c r="E13" s="48" t="str">
        <x:v>Use current status only.</x:v>
      </x:c>
    </x:row>
    <x:row r="14">
      <x:c r="A14" s="48" t="str">
        <x:v>TPL-10</x:v>
      </x:c>
      <x:c r="B14" s="48" t="str">
        <x:v>Refund</x:v>
      </x:c>
      <x:c r="C14" s="48" t="str">
        <x:v>Before I submit the request, please confirm whether the item has been returned and whether the return pickup is complete.</x:v>
      </x:c>
      <x:c r="D14" s="48" t="str">
        <x:v>अनुरोध भेजने से पहले कृपया पुष्टि करें कि वस्तु वापस कर दी गई है और रिटर्न पिकअप पूरा हुआ है या नहीं।</x:v>
      </x:c>
      <x:c r="E14" s="48" t="str">
        <x:v>Check return eligibility.</x:v>
      </x:c>
    </x:row>
    <x:row r="15">
      <x:c r="A15" s="48" t="str">
        <x:v>TPL-11</x:v>
      </x:c>
      <x:c r="B15" s="48" t="str">
        <x:v>Damaged item</x:v>
      </x:c>
      <x:c r="C15" s="48" t="str">
        <x:v>I’m sorry the item arrived damaged. Please share photos of the item and packaging through [approved channel] so we can review the next step.</x:v>
      </x:c>
      <x:c r="D15" s="48" t="str">
        <x:v>वस्तु क्षतिग्रस्त पहुँचने के लिए खेद है। कृपया [स्वीकृत माध्यम] से वस्तु और पैकेजिंग की तस्वीरें साझा करें ताकि हम अगला कदम जाँच सकें।</x:v>
      </x:c>
      <x:c r="E15" s="48" t="str">
        <x:v>Request only needed evidence.</x:v>
      </x:c>
    </x:row>
    <x:row r="16">
      <x:c r="A16" s="48" t="str">
        <x:v>TPL-12</x:v>
      </x:c>
      <x:c r="B16" s="48" t="str">
        <x:v>Damaged item</x:v>
      </x:c>
      <x:c r="C16" s="48" t="str">
        <x:v>Thank you for reporting this. I’ve recorded the issue as [reference ID]. We’ll assess it against the replacement/refund policy and update you by [time].</x:v>
      </x:c>
      <x:c r="D16" s="48" t="str">
        <x:v>सूचित करने के लिए धन्यवाद। समस्या [रेफरेंस ID] के रूप में दर्ज की गई है। हम इसे रिप्लेसमेंट/रिफंड नीति के अनुसार जाँचकर [समय] तक अपडेट देंगे।</x:v>
      </x:c>
      <x:c r="E16" s="48" t="str">
        <x:v>No outcome guarantee before assessment.</x:v>
      </x:c>
    </x:row>
    <x:row r="17">
      <x:c r="A17" s="48" t="str">
        <x:v>TPL-13</x:v>
      </x:c>
      <x:c r="B17" s="48" t="str">
        <x:v>Damaged item</x:v>
      </x:c>
      <x:c r="C17" s="48" t="str">
        <x:v>Please keep the product and packaging until the review is complete. I’ll share any return or pickup steps once confirmed.</x:v>
      </x:c>
      <x:c r="D17" s="48" t="str">
        <x:v>कृपया समीक्षा पूरी होने तक उत्पाद और पैकेजिंग सुरक्षित रखें। पुष्टि होने पर मैं रिटर्न या पिकअप के निर्देश साझा करूँगा/करूँगी।</x:v>
      </x:c>
      <x:c r="E17" s="48" t="str">
        <x:v>Only say this if policy allows.</x:v>
      </x:c>
    </x:row>
    <x:row r="18">
      <x:c r="A18" s="48" t="str">
        <x:v>TPL-14</x:v>
      </x:c>
      <x:c r="B18" s="48" t="str">
        <x:v>Damaged item</x:v>
      </x:c>
      <x:c r="C18" s="48" t="str">
        <x:v>I understand this is disappointing. To help resolve it, could you confirm whether the outer packaging was also damaged?</x:v>
      </x:c>
      <x:c r="D18" s="48" t="str">
        <x:v>मैं समझता/समझती हूँ कि यह निराशाजनक है। समाधान में सहायता के लिए क्या आप पुष्टि कर सकते हैं कि बाहरी पैकेजिंग भी क्षतिग्रस्त थी?</x:v>
      </x:c>
      <x:c r="E18" s="48" t="str">
        <x:v>Ask relevant questions only.</x:v>
      </x:c>
    </x:row>
    <x:row r="19">
      <x:c r="A19" s="48" t="str">
        <x:v>TPL-15</x:v>
      </x:c>
      <x:c r="B19" s="48" t="str">
        <x:v>Damaged item</x:v>
      </x:c>
      <x:c r="C19" s="48" t="str">
        <x:v>I’ve escalated the damage report to the review team. The escalation reference is [ID]; I’ll update you by [time].</x:v>
      </x:c>
      <x:c r="D19" s="48" t="str">
        <x:v>मैंने क्षति रिपोर्ट समीक्षा टीम को भेज दी है। रेफरेंस [ID] है; मैं [समय] तक अपडेट दूँगा/दूँगी।</x:v>
      </x:c>
      <x:c r="E19" s="48" t="str">
        <x:v>Use only after actual escalation.</x:v>
      </x:c>
    </x:row>
    <x:row r="20">
      <x:c r="A20" s="48" t="str">
        <x:v>TPL-16</x:v>
      </x:c>
      <x:c r="B20" s="48" t="str">
        <x:v>Payment issue</x:v>
      </x:c>
      <x:c r="C20" s="48" t="str">
        <x:v>I can help check the transaction status. Please provide the order/reference ID, but never share your PIN, OTP or full card number.</x:v>
      </x:c>
      <x:c r="D20" s="48" t="str">
        <x:v>मैं लेन-देन की स्थिति जाँचने में मदद कर सकता/सकती हूँ। कृपया ऑर्डर/रेफरेंस ID दें, लेकिन PIN, OTP या पूरा कार्ड नंबर कभी साझा न करें।</x:v>
      </x:c>
      <x:c r="E20" s="48" t="str">
        <x:v>Never ask for OTP/PIN.</x:v>
      </x:c>
    </x:row>
    <x:row r="21">
      <x:c r="A21" s="48" t="str">
        <x:v>TPL-17</x:v>
      </x:c>
      <x:c r="B21" s="48" t="str">
        <x:v>Payment issue</x:v>
      </x:c>
      <x:c r="C21" s="48" t="str">
        <x:v>If the amount was debited but the order is not confirmed, I’ll check the payment reference and follow the approved reconciliation process.</x:v>
      </x:c>
      <x:c r="D21" s="48" t="str">
        <x:v>यदि राशि कट गई है लेकिन ऑर्डर की पुष्टि नहीं हुई, तो मैं भुगतान रेफरेंस और स्वीकृत मिलान प्रक्रिया जाँचूँगा/जाँचूँगी।</x:v>
      </x:c>
      <x:c r="E21" s="48" t="str">
        <x:v>Do not ask the customer to pay again immediately.</x:v>
      </x:c>
    </x:row>
    <x:row r="22">
      <x:c r="A22" s="48" t="str">
        <x:v>TPL-18</x:v>
      </x:c>
      <x:c r="B22" s="48" t="str">
        <x:v>Payment issue</x:v>
      </x:c>
      <x:c r="C22" s="48" t="str">
        <x:v>The transaction currently shows [status]. I’ll share what the system confirms and route it for review if needed.</x:v>
      </x:c>
      <x:c r="D22" s="48" t="str">
        <x:v>लेन-देन अभी [स्थिति] दिखा रहा है। मैं सिस्टम द्वारा पुष्ट जानकारी साझा करूँगा/करूँगी और जरूरत होने पर समीक्षा के लिए भेजूँगा/भेजूँगी।</x:v>
      </x:c>
      <x:c r="E22" s="48" t="str">
        <x:v>No speculation.</x:v>
      </x:c>
    </x:row>
    <x:row r="23">
      <x:c r="A23" s="48" t="str">
        <x:v>TPL-19</x:v>
      </x:c>
      <x:c r="B23" s="48" t="str">
        <x:v>Account access</x:v>
      </x:c>
      <x:c r="C23" s="48" t="str">
        <x:v>For your security, please use the password-reset link on the official website. We will never ask you to send your password or OTP.</x:v>
      </x:c>
      <x:c r="D23" s="48" t="str">
        <x:v>आपकी सुरक्षा के लिए आधिकारिक वेबसाइट का पासवर्ड-रीसेट लिंक इस्तेमाल करें। हम आपसे पासवर्ड या OTP भेजने को कभी नहीं कहेंगे।</x:v>
      </x:c>
      <x:c r="E23" s="48" t="str">
        <x:v>Use official link only.</x:v>
      </x:c>
    </x:row>
    <x:row r="24">
      <x:c r="A24" s="48" t="str">
        <x:v>TPL-20</x:v>
      </x:c>
      <x:c r="B24" s="48" t="str">
        <x:v>Account access</x:v>
      </x:c>
      <x:c r="C24" s="48" t="str">
        <x:v>I can help troubleshoot. What error message do you see, and which device/browser are you using? Please do not share credentials.</x:v>
      </x:c>
      <x:c r="D24" s="48" t="str">
        <x:v>मैं समस्या हल करने में मदद कर सकता/सकती हूँ। आपको कौन-सा त्रुटि संदेश दिख रहा है और कौन-सा डिवाइस/ब्राउज़र उपयोग कर रहे हैं? कृपया लॉगिन विवरण साझा न करें।</x:v>
      </x:c>
      <x:c r="E24" s="48" t="str">
        <x:v>Avoid collecting credentials.</x:v>
      </x:c>
    </x:row>
    <x:row r="25">
      <x:c r="A25" s="48" t="str">
        <x:v>TPL-21</x:v>
      </x:c>
      <x:c r="B25" s="48" t="str">
        <x:v>Cancellation</x:v>
      </x:c>
      <x:c r="C25" s="48" t="str">
        <x:v>I can check whether the order is still eligible for cancellation. Please share the reference ID through our approved channel.</x:v>
      </x:c>
      <x:c r="D25" s="48" t="str">
        <x:v>मैं जाँच सकता/सकती हूँ कि ऑर्डर रद्द करने के योग्य है या नहीं। कृपया स्वीकृत माध्यम से रेफरेंस ID दें।</x:v>
      </x:c>
      <x:c r="E25" s="48" t="str">
        <x:v>Eligibility depends on current status.</x:v>
      </x:c>
    </x:row>
    <x:row r="26">
      <x:c r="A26" s="48" t="str">
        <x:v>TPL-22</x:v>
      </x:c>
      <x:c r="B26" s="48" t="str">
        <x:v>Cancellation</x:v>
      </x:c>
      <x:c r="C26" s="48" t="str">
        <x:v>The cancellation request is [status]. I’ll confirm whether any refund or further action applies under the policy.</x:v>
      </x:c>
      <x:c r="D26" s="48" t="str">
        <x:v>रद्द करने का अनुरोध [स्थिति] में है। मैं नीति के अनुसार रिफंड या आगे की कार्रवाई की पुष्टि करूँगा/करूँगी।</x:v>
      </x:c>
      <x:c r="E26" s="48" t="str">
        <x:v>Don't infer refund automatically.</x:v>
      </x:c>
    </x:row>
    <x:row r="27">
      <x:c r="A27" s="48" t="str">
        <x:v>TPL-23</x:v>
      </x:c>
      <x:c r="B27" s="48" t="str">
        <x:v>Product question</x:v>
      </x:c>
      <x:c r="C27" s="48" t="str">
        <x:v>I can confirm the details that are listed for [product]. Which specification matters most to you so I can focus on the right information?</x:v>
      </x:c>
      <x:c r="D27" s="48" t="str">
        <x:v>मैं [उत्पाद] के सूचीबद्ध विवरण की पुष्टि कर सकता/सकती हूँ। आपके लिए कौन-सी विशेषता सबसे महत्वपूर्ण है ताकि मैं सही जानकारी दे सकूँ?</x:v>
      </x:c>
      <x:c r="E27" s="48" t="str">
        <x:v>Use approved product information.</x:v>
      </x:c>
    </x:row>
    <x:row r="28">
      <x:c r="A28" s="48" t="str">
        <x:v>TPL-24</x:v>
      </x:c>
      <x:c r="B28" s="48" t="str">
        <x:v>Wrong item</x:v>
      </x:c>
      <x:c r="C28" s="48" t="str">
        <x:v>I’m sorry the item received does not match what you ordered. Could you share the order reference and a photo of the item label through [approved channel]?</x:v>
      </x:c>
      <x:c r="D28" s="48" t="str">
        <x:v>ऑर्डर की गई वस्तु से अलग वस्तु मिलने के लिए खेद है। क्या आप [स्वीकृत माध्यम] से ऑर्डर रेफरेंस और वस्तु के लेबल की तस्वीर साझा कर सकते हैं?</x:v>
      </x:c>
      <x:c r="E28" s="48" t="str">
        <x:v>Verify details safely.</x:v>
      </x:c>
    </x:row>
    <x:row r="29">
      <x:c r="A29" s="48" t="str">
        <x:v>TPL-25</x:v>
      </x:c>
      <x:c r="B29" s="48" t="str">
        <x:v>Wrong item</x:v>
      </x:c>
      <x:c r="C29" s="48" t="str">
        <x:v>I’ve logged the mismatch for review. Once the order and item details are verified, I’ll explain the eligible return or replacement options.</x:v>
      </x:c>
      <x:c r="D29" s="48" t="str">
        <x:v>मैंने अंतर की समीक्षा के लिए विवरण दर्ज किया है। ऑर्डर और वस्तु की पुष्टि के बाद मैं पात्र रिटर्न या रिप्लेसमेंट विकल्प बताऊँगा/बताऊँगी।</x:v>
      </x:c>
      <x:c r="E29" s="48" t="str">
        <x:v>Don't promise replacement before eligibility.</x:v>
      </x:c>
    </x:row>
    <x:row r="30">
      <x:c r="A30" s="48" t="str">
        <x:v>TPL-26</x:v>
      </x:c>
      <x:c r="B30" s="48" t="str">
        <x:v>General escalation</x:v>
      </x:c>
      <x:c r="C30" s="48" t="str">
        <x:v>I understand why this needs attention. I’m sending the case to [team] with the details already shared so you don’t have to repeat everything.</x:v>
      </x:c>
      <x:c r="D30" s="48" t="str">
        <x:v>मैं समझता/समझती हूँ कि इस पर ध्यान देना जरूरी है। मैं पहले से साझा विवरण सहित मामला [टीम] को भेज रहा/रही हूँ ताकि आपको सब दोबारा न बताना पड़े।</x:v>
      </x:c>
      <x:c r="E30" s="48" t="str">
        <x:v>Avoid unnecessary repetition; share only relevant data.</x:v>
      </x:c>
    </x:row>
    <x:row r="31">
      <x:c r="A31" s="48" t="str">
        <x:v>TPL-27</x:v>
      </x:c>
      <x:c r="B31" s="48" t="str">
        <x:v>General escalation</x:v>
      </x:c>
      <x:c r="C31" s="48" t="str">
        <x:v>Your reference is [ID]. The next update is expected by [time]. If that changes, I’ll let you know rather than leave you without an update.</x:v>
      </x:c>
      <x:c r="D31" s="48" t="str">
        <x:v>आपका रेफरेंस [ID] है। अगला अपडेट [समय] तक अपेक्षित है। बदलाव होने पर मैं आपको सूचित करूँगा/करूँगी।</x:v>
      </x:c>
      <x:c r="E31" s="48" t="str">
        <x:v>Only promise updates you can deliver.</x:v>
      </x:c>
    </x:row>
    <x:row r="32">
      <x:c r="A32" s="48" t="str">
        <x:v>TPL-28</x:v>
      </x:c>
      <x:c r="B32" s="48" t="str">
        <x:v>Frustrated customer</x:v>
      </x:c>
      <x:c r="C32" s="48" t="str">
        <x:v>I can hear how frustrating this has been. I’ll focus on the next concrete step: [step], and I’ll confirm what I can do by [time].</x:v>
      </x:c>
      <x:c r="D32" s="48" t="str">
        <x:v>मैं समझ सकता/सकती हूँ कि यह अनुभव कितना परेशान करने वाला रहा है। मैं अगले स्पष्ट कदम [कदम] पर ध्यान दूँगा/दूँगी और [समय] तक पुष्टि करूँगा/करूँगी।</x:v>
      </x:c>
      <x:c r="E32" s="48" t="str">
        <x:v>Acknowledge; don't argue.</x:v>
      </x:c>
    </x:row>
    <x:row r="33">
      <x:c r="A33" s="48" t="str">
        <x:v>TPL-29</x:v>
      </x:c>
      <x:c r="B33" s="48" t="str">
        <x:v>No update yet</x:v>
      </x:c>
      <x:c r="C33" s="48" t="str">
        <x:v>I don’t have a confirmed answer yet, and I don’t want to guess. I’ve requested an update from [team] and will follow up by [time].</x:v>
      </x:c>
      <x:c r="D33" s="48" t="str">
        <x:v>मेरे पास अभी पुष्ट उत्तर नहीं है और मैं अनुमान नहीं लगाना चाहता/चाहती। मैंने [टीम] से अपडेट माँगा है और [समय] तक फॉलो-अप करूँगा/करूँगी।</x:v>
      </x:c>
      <x:c r="E33" s="48" t="str">
        <x:v>Transparent uncertainty.</x:v>
      </x:c>
    </x:row>
    <x:row r="34">
      <x:c r="A34" s="48" t="str">
        <x:v>TPL-30</x:v>
      </x:c>
      <x:c r="B34" s="48" t="str">
        <x:v>Closing</x:v>
      </x:c>
      <x:c r="C34" s="48" t="str">
        <x:v>Is there anything else about this same issue I can clarify before we close the conversation? Thank you for your time.</x:v>
      </x:c>
      <x:c r="D34" s="48" t="str">
        <x:v>क्या बातचीत समाप्त करने से पहले इसी समस्या से जुड़ी कोई और बात स्पष्ट करनी है? समय देने के लिए धन्यवाद।</x:v>
      </x:c>
      <x:c r="E34" s="48" t="str">
        <x:v>Confirm outcome before closure.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25" hidden="0" customWidth="1"/>
    <x:col min="3" max="3" width="25" hidden="0" customWidth="1"/>
    <x:col min="4" max="4" width="48" hidden="0" customWidth="1"/>
    <x:col min="5" max="5" width="38" hidden="0" customWidth="1"/>
  </x:cols>
  <x:sheetData>
    <x:row r="1" ht="32" customHeight="1">
      <x:c r="A1" s="5" t="str">
        <x:v>SLA &amp; ESCALATION MATRIX</x:v>
      </x:c>
      <x:c r="B1" s="5"/>
      <x:c r="C1" s="5"/>
      <x:c r="D1" s="5"/>
      <x:c r="E1" s="5"/>
    </x:row>
    <x:row r="2" ht="25" customHeight="1">
      <x:c r="A2" s="14" t="str">
        <x:v>Illustrative practice targets. Replace with the real organisation's approved policy before use.</x:v>
      </x:c>
      <x:c r="B2" s="14"/>
      <x:c r="C2" s="14"/>
      <x:c r="D2" s="14"/>
      <x:c r="E2" s="14"/>
    </x:row>
    <x:row r="4" ht="30" customHeight="1">
      <x:c r="A4" s="41" t="str">
        <x:v>Priority</x:v>
      </x:c>
      <x:c r="B4" s="41" t="str">
        <x:v>First Response Target (min)</x:v>
      </x:c>
      <x:c r="C4" s="41" t="str">
        <x:v>Resolution Target (hours)</x:v>
      </x:c>
      <x:c r="D4" s="41" t="str">
        <x:v>Escalate When</x:v>
      </x:c>
      <x:c r="E4" s="41" t="str">
        <x:v>Route / Owner</x:v>
      </x:c>
    </x:row>
    <x:row r="5">
      <x:c r="A5" s="48" t="str">
        <x:v>Urgent</x:v>
      </x:c>
      <x:c r="B5" s="48" t="n">
        <x:v>15</x:v>
      </x:c>
      <x:c r="C5" s="48" t="n">
        <x:v>4</x:v>
      </x:c>
      <x:c r="D5" s="48" t="str">
        <x:v>Immediate safety, payment block or major service outage</x:v>
      </x:c>
      <x:c r="E5" s="48" t="str">
        <x:v>Tier 2 / Team Lead immediately</x:v>
      </x:c>
    </x:row>
    <x:row r="6">
      <x:c r="A6" s="48" t="str">
        <x:v>High</x:v>
      </x:c>
      <x:c r="B6" s="48" t="n">
        <x:v>30</x:v>
      </x:c>
      <x:c r="C6" s="48" t="n">
        <x:v>8</x:v>
      </x:c>
      <x:c r="D6" s="48" t="str">
        <x:v>High customer impact or repeated failure</x:v>
      </x:c>
      <x:c r="E6" s="48" t="str">
        <x:v>Tier 2 after initial triage</x:v>
      </x:c>
    </x:row>
    <x:row r="7">
      <x:c r="A7" s="48" t="str">
        <x:v>Normal</x:v>
      </x:c>
      <x:c r="B7" s="48" t="n">
        <x:v>120</x:v>
      </x:c>
      <x:c r="C7" s="48" t="n">
        <x:v>24</x:v>
      </x:c>
      <x:c r="D7" s="48" t="str">
        <x:v>Target likely to be missed or issue needs another team</x:v>
      </x:c>
      <x:c r="E7" s="48" t="str">
        <x:v>Relevant specialist queue</x:v>
      </x:c>
    </x:row>
    <x:row r="8">
      <x:c r="A8" s="48" t="str">
        <x:v>Low</x:v>
      </x:c>
      <x:c r="B8" s="48" t="n">
        <x:v>240</x:v>
      </x:c>
      <x:c r="C8" s="48" t="n">
        <x:v>48</x:v>
      </x:c>
      <x:c r="D8" s="48" t="str">
        <x:v>Waiting beyond expected window or customer asks for supervisor</x:v>
      </x:c>
      <x:c r="E8" s="48" t="str">
        <x:v>Team Lead when needed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6" hidden="0" customWidth="1"/>
    <x:col min="3" max="3" width="26" hidden="0" customWidth="1"/>
    <x:col min="4" max="4" width="82" hidden="0" customWidth="1"/>
  </x:cols>
  <x:sheetData>
    <x:row r="1" ht="32" customHeight="1">
      <x:c r="A1" s="5" t="str">
        <x:v>HOW TO USE THE HELP DESK WORKBOOK</x:v>
      </x:c>
      <x:c r="B1" s="5"/>
      <x:c r="C1" s="5"/>
      <x:c r="D1" s="5"/>
    </x:row>
    <x:row r="2" ht="25" customHeight="1">
      <x:c r="A2" s="14" t="str">
        <x:v>Synthetic practice data only. Illustrative SLA targets are not an actual employer policy.</x:v>
      </x:c>
      <x:c r="B2" s="14"/>
      <x:c r="C2" s="14"/>
      <x:c r="D2" s="14"/>
    </x:row>
    <x:row r="4" ht="30" customHeight="1">
      <x:c r="A4" s="41" t="str">
        <x:v>Step</x:v>
      </x:c>
      <x:c r="B4" s="41" t="str">
        <x:v>Action</x:v>
      </x:c>
      <x:c r="C4" s="41" t="str">
        <x:v>Sheet</x:v>
      </x:c>
      <x:c r="D4" s="41" t="str">
        <x:v>Notes</x:v>
      </x:c>
    </x:row>
    <x:row r="5">
      <x:c r="A5" s="48" t="str">
        <x:v>1</x:v>
      </x:c>
      <x:c r="B5" s="48" t="str">
        <x:v>Review service KPIs</x:v>
      </x:c>
      <x:c r="C5" s="48" t="str">
        <x:v>Dashboard</x:v>
      </x:c>
      <x:c r="D5" s="48" t="str">
        <x:v>Metrics use formulas linked to the Ticket Tracker.</x:v>
      </x:c>
    </x:row>
    <x:row r="6">
      <x:c r="A6" s="48" t="str">
        <x:v>2</x:v>
      </x:c>
      <x:c r="B6" s="48" t="str">
        <x:v>Change ticket status and priority</x:v>
      </x:c>
      <x:c r="C6" s="48" t="str">
        <x:v>Ticket Tracker</x:v>
      </x:c>
      <x:c r="D6" s="48" t="str">
        <x:v>Use dropdowns; flags recalculate based on the SLA Matrix targets.</x:v>
      </x:c>
    </x:row>
    <x:row r="7">
      <x:c r="A7" s="48" t="str">
        <x:v>3</x:v>
      </x:c>
      <x:c r="B7" s="48" t="str">
        <x:v>Review response times and resolution elapsed hours</x:v>
      </x:c>
      <x:c r="C7" s="48" t="str">
        <x:v>Ticket Tracker</x:v>
      </x:c>
      <x:c r="D7" s="48" t="str">
        <x:v>For active tickets this represents elapsed time so far; CSAT is recorded only for resolved/closed tickets.</x:v>
      </x:c>
    </x:row>
    <x:row r="8">
      <x:c r="A8" s="48" t="str">
        <x:v>4</x:v>
      </x:c>
      <x:c r="B8" s="48" t="str">
        <x:v>Adapt the reply templates</x:v>
      </x:c>
      <x:c r="C8" s="48" t="str">
        <x:v>Reply Templates</x:v>
      </x:c>
      <x:c r="D8" s="48" t="str">
        <x:v>Replace placeholders; verify order status and policy before sending.</x:v>
      </x:c>
    </x:row>
    <x:row r="9">
      <x:c r="A9" s="48" t="str">
        <x:v>5</x:v>
      </x:c>
      <x:c r="B9" s="48" t="str">
        <x:v>Protect customer information</x:v>
      </x:c>
      <x:c r="C9" s="48" t="str">
        <x:v>All sheets</x:v>
      </x:c>
      <x:c r="D9" s="48" t="str">
        <x:v>This file contains no real customer data; never place sensitive customer data in a public portfolio.</x:v>
      </x:c>
    </x:row>
    <x:row r="10">
      <x:c r="A10" s="48" t="str">
        <x:v>6</x:v>
      </x:c>
      <x:c r="B10" s="48" t="str">
        <x:v>Discuss the project</x:v>
      </x:c>
      <x:c r="C10" s="48" t="str">
        <x:v>README / Case study</x:v>
      </x:c>
      <x:c r="D10" s="48" t="str">
        <x:v>Explain triage, escalation, SLA logic and what the dashboard tracks.</x:v>
      </x:c>
    </x:row>
  </x:sheetData>
  <x:mergeCells>
    <x:mergeCell ref="A1:D1"/>
    <x:mergeCell ref="A2:D2"/>
  </x:mergeCells>
  <x:pageMargins left="0.7" right="0.7" top="0.75" bottom="0.75" header="0.3" footer="0.3"/>
</x:worksheet>
</file>